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" sheetId="1" r:id="rId5"/>
    <sheet state="visible" name="Tabela dinâmica 1" sheetId="2" r:id="rId6"/>
    <sheet state="visible" name="Avaliações em andamento" sheetId="3" r:id="rId7"/>
    <sheet state="visible" name="Laudos a entregar" sheetId="4" r:id="rId8"/>
  </sheets>
  <definedNames>
    <definedName hidden="1" localSheetId="0" name="_xlnm._FilterDatabase">Pacientes!$A$1:$T$181</definedName>
    <definedName hidden="1" localSheetId="1" name="_xlnm._FilterDatabase">'Tabela dinâmica 1'!$I$1:$J$8</definedName>
    <definedName hidden="1" localSheetId="3" name="_xlnm._FilterDatabase">'Laudos a entregar'!$A$1:$Z$1000</definedName>
    <definedName hidden="1" localSheetId="0" name="Z_0EC1CD81_3D04_46C1_8124_DD5BC6EBF72E_.wvu.FilterData">Pacientes!$A$1:$T$181</definedName>
    <definedName hidden="1" localSheetId="0" name="Z_2B82DF32_4670_4315_AB4C_3D0DD41E6353_.wvu.FilterData">Pacientes!$A$1:$T$181</definedName>
  </definedNames>
  <calcPr/>
  <customWorkbookViews>
    <customWorkbookView activeSheetId="0" maximized="1" windowHeight="0" windowWidth="0" guid="{2B82DF32-4670-4315-AB4C-3D0DD41E6353}" name="Tati"/>
    <customWorkbookView activeSheetId="0" maximized="1" windowHeight="0" windowWidth="0" guid="{0EC1CD81-3D04-46C1-8124-DD5BC6EBF72E}" name="Amanda"/>
  </customWorkbookViews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<sst xmlns="http://schemas.openxmlformats.org/spreadsheetml/2006/main" count="1991" uniqueCount="1049">
  <si>
    <t>Nome</t>
  </si>
  <si>
    <t>Pasta</t>
  </si>
  <si>
    <t>Amanda/Yuri</t>
  </si>
  <si>
    <t>DN - Paciente</t>
  </si>
  <si>
    <t>Idade</t>
  </si>
  <si>
    <t>Anamnese</t>
  </si>
  <si>
    <t>Laudo</t>
  </si>
  <si>
    <t>Status</t>
  </si>
  <si>
    <t>Ativo ou inativo</t>
  </si>
  <si>
    <t>Telefone - Contato</t>
  </si>
  <si>
    <t>Whatsapp</t>
  </si>
  <si>
    <t>Nome - Responsável</t>
  </si>
  <si>
    <t>Estagiário Responsável</t>
  </si>
  <si>
    <t>Data - 1ª sessão</t>
  </si>
  <si>
    <t>Data - Fim</t>
  </si>
  <si>
    <t>Data - devolutiva</t>
  </si>
  <si>
    <t>E-mail - Contato</t>
  </si>
  <si>
    <t>CPF - Responsável</t>
  </si>
  <si>
    <t>Dia/Horário</t>
  </si>
  <si>
    <t>Observações</t>
  </si>
  <si>
    <t xml:space="preserve">Alan César Guerra </t>
  </si>
  <si>
    <t>Alan César Guerra</t>
  </si>
  <si>
    <t>Amanda</t>
  </si>
  <si>
    <t>Anamnese ACG.docx</t>
  </si>
  <si>
    <t>Laudo ACG.docx</t>
  </si>
  <si>
    <t>Finalizado</t>
  </si>
  <si>
    <t xml:space="preserve">(31) 99264-3794 </t>
  </si>
  <si>
    <t>Lidiane</t>
  </si>
  <si>
    <t>alan-guerra1@hotmail.com</t>
  </si>
  <si>
    <t>Helena Pereira Martins</t>
  </si>
  <si>
    <t>Yuri</t>
  </si>
  <si>
    <t xml:space="preserve">Em avaliação </t>
  </si>
  <si>
    <t>Ativo</t>
  </si>
  <si>
    <t>(31) 994036954</t>
  </si>
  <si>
    <t>Ingrid Luzia Ferreira Martins</t>
  </si>
  <si>
    <t>Rafa</t>
  </si>
  <si>
    <t>Maria Thereza de Jesus Machado</t>
  </si>
  <si>
    <t>(31) 99257-6101</t>
  </si>
  <si>
    <t>Rachel</t>
  </si>
  <si>
    <t>ashbel.abgail@gmail.com</t>
  </si>
  <si>
    <t>02965750622</t>
  </si>
  <si>
    <t>Alyce Vitória Miguel de Souza</t>
  </si>
  <si>
    <t>Anamnese AVMS.docx</t>
  </si>
  <si>
    <t>(31) 98956-5944</t>
  </si>
  <si>
    <t>Hélio Márcio José Miguel Júnior</t>
  </si>
  <si>
    <t>Luciana</t>
  </si>
  <si>
    <t>lelimmjnp16@gmail.com</t>
  </si>
  <si>
    <t>01907607617</t>
  </si>
  <si>
    <t>Devolutiva 28/01 15h</t>
  </si>
  <si>
    <t>Ana Beatrice Peixoto Mário</t>
  </si>
  <si>
    <t>Anamnese ABPM.docx</t>
  </si>
  <si>
    <t>Laudo ABPM.docx</t>
  </si>
  <si>
    <t xml:space="preserve">Laudo </t>
  </si>
  <si>
    <t>(31) 99299-1523</t>
  </si>
  <si>
    <t>Rafaela Alcântara</t>
  </si>
  <si>
    <t>pmanabeatrice@gmail.com</t>
  </si>
  <si>
    <t>147.460.076-08</t>
  </si>
  <si>
    <t>-</t>
  </si>
  <si>
    <t xml:space="preserve">Ana Carolina Alves de Oliveira </t>
  </si>
  <si>
    <t>Ana Carolina Alves de Oliveira</t>
  </si>
  <si>
    <t>Anamnese ACAO</t>
  </si>
  <si>
    <t>Laudo ACAO.docx</t>
  </si>
  <si>
    <t>(31) 92005-2655</t>
  </si>
  <si>
    <t>Sarah</t>
  </si>
  <si>
    <t>caroltreinos@gmail.com</t>
  </si>
  <si>
    <t>Ana Carolina Lourdes da Silva</t>
  </si>
  <si>
    <t>Anamnese ACLS.docx</t>
  </si>
  <si>
    <t>(31) 98257-1360</t>
  </si>
  <si>
    <t>Lucimar Lourdes Neto Regis</t>
  </si>
  <si>
    <t>Tatiana</t>
  </si>
  <si>
    <t>carolthemachine@hotmail.com</t>
  </si>
  <si>
    <t>02450093613</t>
  </si>
  <si>
    <t xml:space="preserve">Ana Cláudia Dias Rodrigues da Silva </t>
  </si>
  <si>
    <t>Anamnese Adulto - Formulário de Coleta de História ANA CLAUDIA DIAS RODRIGUES DA SILVA.docx.pdf</t>
  </si>
  <si>
    <t>(31) 99162-9992</t>
  </si>
  <si>
    <t>ana.cdrs@gmail.cok</t>
  </si>
  <si>
    <t>devolutiva 03/02</t>
  </si>
  <si>
    <t>Matias Guimarães Alves</t>
  </si>
  <si>
    <t>Anamnese MGA.docx</t>
  </si>
  <si>
    <t xml:space="preserve">(31) 98604-7020 </t>
  </si>
  <si>
    <t xml:space="preserve">Jéssica Cristina Guimarães Alves </t>
  </si>
  <si>
    <t>Jc691611@gmail.com</t>
  </si>
  <si>
    <t xml:space="preserve">103.598.686-81 </t>
  </si>
  <si>
    <t>Antônio Augusto Catão Alves Júnior</t>
  </si>
  <si>
    <t>Laudo AACJ.docx</t>
  </si>
  <si>
    <t>(31) 99955-1092</t>
  </si>
  <si>
    <t xml:space="preserve">Antônio Augusto Catão Alves Júnior </t>
  </si>
  <si>
    <t>Luiz</t>
  </si>
  <si>
    <t>profissional.mg9@gmail.com</t>
  </si>
  <si>
    <t>Antônio Renato Ferreira dos Santos</t>
  </si>
  <si>
    <t>Anamnese ARFS.docx</t>
  </si>
  <si>
    <t>Laudo ARFS.docx</t>
  </si>
  <si>
    <t>(31) 98112-5134</t>
  </si>
  <si>
    <t xml:space="preserve">Alessandra Ferreira da Silva </t>
  </si>
  <si>
    <t xml:space="preserve">Rachel </t>
  </si>
  <si>
    <t>alessandraferreira3517@gmail.com</t>
  </si>
  <si>
    <t>05159766600</t>
  </si>
  <si>
    <t>Arthur Miguel Lina de Freitas</t>
  </si>
  <si>
    <t>Laudo AMLF.docx</t>
  </si>
  <si>
    <t>(31) 9715-4245</t>
  </si>
  <si>
    <t xml:space="preserve">Maria Lima de Freitas </t>
  </si>
  <si>
    <t>Frances</t>
  </si>
  <si>
    <t>054.232.516-05</t>
  </si>
  <si>
    <t xml:space="preserve"> (cobrei os docs da mãe, vai ficar pra 2026)</t>
  </si>
  <si>
    <t xml:space="preserve">Benício Alexandre Coelho Jorge </t>
  </si>
  <si>
    <t>Anamnese BACJ.docx</t>
  </si>
  <si>
    <t>Laudo BACJ.docx</t>
  </si>
  <si>
    <t>(31) 99876-9160</t>
  </si>
  <si>
    <t xml:space="preserve">Alexandre Magno Silva Jorge </t>
  </si>
  <si>
    <t>barbara1234jorge@gmail.com</t>
  </si>
  <si>
    <t>178.523.466-85</t>
  </si>
  <si>
    <t>qua, 15h</t>
  </si>
  <si>
    <t>Ficou muito tempo sem vir</t>
  </si>
  <si>
    <t xml:space="preserve">Sarah Cristina Veras Rodrigues </t>
  </si>
  <si>
    <t>(31) 98881-1139</t>
  </si>
  <si>
    <t>sarahcrisverasrod@gmail.com</t>
  </si>
  <si>
    <t>João Pedro Quadros Cardoso</t>
  </si>
  <si>
    <t>(31) 98713-4729</t>
  </si>
  <si>
    <t>Tatielle Batista Oliveira Quadros</t>
  </si>
  <si>
    <t>tatielle.quadros@gmail.com</t>
  </si>
  <si>
    <t>Bento Martins Fernandes</t>
  </si>
  <si>
    <t>Anamnese BMF.docx</t>
  </si>
  <si>
    <t>Laudo BMF.docx</t>
  </si>
  <si>
    <t>(31) 97360-4388</t>
  </si>
  <si>
    <t xml:space="preserve">Carlos Sant Ana Fernandes </t>
  </si>
  <si>
    <t>mariliamafernandes@yahoo.com.br</t>
  </si>
  <si>
    <t>00183975650</t>
  </si>
  <si>
    <t xml:space="preserve">Bernardo Muniz de Melo Cezano </t>
  </si>
  <si>
    <t>Bernardo Muniz de Melo Cezano</t>
  </si>
  <si>
    <t>Anamnese BMMC.docx</t>
  </si>
  <si>
    <t>Laudo BMMC.docx</t>
  </si>
  <si>
    <t>(31) 98255-6245</t>
  </si>
  <si>
    <t xml:space="preserve">Lorena Muniz de Melo Cezano </t>
  </si>
  <si>
    <t>lorena.cezano@gmail.com</t>
  </si>
  <si>
    <t>164.372.636-60</t>
  </si>
  <si>
    <t xml:space="preserve">Vanessa Mendes Mattoso Chagas Ferraz </t>
  </si>
  <si>
    <t>Anamnese VMMCF.docx</t>
  </si>
  <si>
    <t>Laudo VMMCF.docx</t>
  </si>
  <si>
    <t>(31) 99814-9779</t>
  </si>
  <si>
    <t>Sarah Antunes</t>
  </si>
  <si>
    <t>vanessa.queiros.mattoso@gmail.com</t>
  </si>
  <si>
    <t>730.270.066-49</t>
  </si>
  <si>
    <t>qua, 10h</t>
  </si>
  <si>
    <t>Bianca da Silva Macedo Costa</t>
  </si>
  <si>
    <t>Anamnese BSMC.docx</t>
  </si>
  <si>
    <t>(31) 98864-0112</t>
  </si>
  <si>
    <t xml:space="preserve">Bianca da Silva Macedo Costa </t>
  </si>
  <si>
    <t>bianca2003.ls.mg@gmail.com</t>
  </si>
  <si>
    <t>Bianca Pereira Viana de Carvalho</t>
  </si>
  <si>
    <t>Anamnese BPVC.docx</t>
  </si>
  <si>
    <t>Laudo BPVC.docx</t>
  </si>
  <si>
    <t>(31) 98681-8859</t>
  </si>
  <si>
    <t xml:space="preserve">Beatriz Pereira Viana </t>
  </si>
  <si>
    <t>vianabeatriz006@gmail.com</t>
  </si>
  <si>
    <t xml:space="preserve">086.368.536-64 </t>
  </si>
  <si>
    <t>Henrique Gomes de Lima Peito</t>
  </si>
  <si>
    <t>Henrique Gomes Lima de Peito</t>
  </si>
  <si>
    <t>Anamnese Henrique Gomes de Lima Peito.docx</t>
  </si>
  <si>
    <t>(31) 97326-7910</t>
  </si>
  <si>
    <t>Vanessa Gomes de Lima</t>
  </si>
  <si>
    <t>vanglima@yahoo.com.br</t>
  </si>
  <si>
    <t xml:space="preserve">Breno Deusdedit Amaro de Almeida </t>
  </si>
  <si>
    <t>Breno Deusdedit Amaro de Almeida</t>
  </si>
  <si>
    <t>ANAMNESE – Breno Deusdedit Amaro de Almeida.docx</t>
  </si>
  <si>
    <t>(31) 99181-5736</t>
  </si>
  <si>
    <t xml:space="preserve">Mônica Deusdedit Amaro de Almeida </t>
  </si>
  <si>
    <t>brenodeusda@hotmail.com</t>
  </si>
  <si>
    <t>Bruna Gontijo Pellegrino</t>
  </si>
  <si>
    <t>Laudo BGP.docx</t>
  </si>
  <si>
    <t>(31) 99182-4986</t>
  </si>
  <si>
    <t>brunapel@hotmail.com</t>
  </si>
  <si>
    <t>01263891608</t>
  </si>
  <si>
    <t>Bryan Fernandes Andrade</t>
  </si>
  <si>
    <t>ANAMNESE - Bryan Fernandes Andrade.docx</t>
  </si>
  <si>
    <t>(31) 98524-9466 / (31) 98641-6440 (Lucas)</t>
  </si>
  <si>
    <t xml:space="preserve">Thalita Angélica Fernandes de Souza </t>
  </si>
  <si>
    <t>thalitalucasigor@gmail.com</t>
  </si>
  <si>
    <t>Devolutiva 23/01 16h</t>
  </si>
  <si>
    <t>Carlos Alberto Brasil Corrêa Júnior</t>
  </si>
  <si>
    <t xml:space="preserve">(31) 99644-1133 </t>
  </si>
  <si>
    <t xml:space="preserve">Carlos Alberto Brasil Corrêa Júnior </t>
  </si>
  <si>
    <t>carlos313231@yahoo.com.br</t>
  </si>
  <si>
    <t xml:space="preserve">955.238.396-04 </t>
  </si>
  <si>
    <t>Cauã Henrique Ferreira dos Santos</t>
  </si>
  <si>
    <t>Anamnese CHFS.docx</t>
  </si>
  <si>
    <t>Laudo CHFS.docx</t>
  </si>
  <si>
    <t>(31) 99316-9515</t>
  </si>
  <si>
    <t>Daiana Patricia Ferreira de Oliveira</t>
  </si>
  <si>
    <t>odaiana995@gmail.com</t>
  </si>
  <si>
    <t>07891787611</t>
  </si>
  <si>
    <t>Charles Albert Corrêa Gonçalves</t>
  </si>
  <si>
    <t>Anamnese CACG.docx</t>
  </si>
  <si>
    <t>Laudo CACG.docx</t>
  </si>
  <si>
    <t>(31) 98884-4797</t>
  </si>
  <si>
    <t>charlesacg@gmail.com</t>
  </si>
  <si>
    <t>Clóvis Prazeres dos Santos</t>
  </si>
  <si>
    <t>Anamnese CPS.pdf</t>
  </si>
  <si>
    <t>Laudo CPS.docx</t>
  </si>
  <si>
    <t>(31) 98762-5333</t>
  </si>
  <si>
    <t xml:space="preserve">Clóvis Prazeres dos Santos </t>
  </si>
  <si>
    <t>Walisson</t>
  </si>
  <si>
    <t>clovissanthari777@gmail.com</t>
  </si>
  <si>
    <t>Daniel Barbosa Silva</t>
  </si>
  <si>
    <t>Anamnese DBS.docx</t>
  </si>
  <si>
    <t xml:space="preserve">(31) 98534-7145 </t>
  </si>
  <si>
    <t xml:space="preserve">Marta Barbosa Rocha Silva </t>
  </si>
  <si>
    <t>martabarbosa151221@gmail.com</t>
  </si>
  <si>
    <t xml:space="preserve">999950696-87 </t>
  </si>
  <si>
    <t>Ela ficou de confirmar a data</t>
  </si>
  <si>
    <t>Daniel Guilherme Lopes Araújo</t>
  </si>
  <si>
    <t>Anamnese DGLA.docx</t>
  </si>
  <si>
    <t>(31) 98642-0851</t>
  </si>
  <si>
    <t xml:space="preserve">Talita Lima Lopes Heringer </t>
  </si>
  <si>
    <t>talitadanigui@gmail.com</t>
  </si>
  <si>
    <t>09722745611</t>
  </si>
  <si>
    <t>Daniel Henrique Pereira Gabriel</t>
  </si>
  <si>
    <t>(31) 98831-1017</t>
  </si>
  <si>
    <t xml:space="preserve">Natália Pereira Gabriel </t>
  </si>
  <si>
    <t>npg1901@gmail.com</t>
  </si>
  <si>
    <t xml:space="preserve">059.388.596-11 </t>
  </si>
  <si>
    <t>Daniela Henriques Lorenzato da Fonseca</t>
  </si>
  <si>
    <t>Anamnese DHLF.docx</t>
  </si>
  <si>
    <t>Laudo DHLF.docx</t>
  </si>
  <si>
    <t>(31) 98248-2527</t>
  </si>
  <si>
    <t>danylorenzato87@gmail.com</t>
  </si>
  <si>
    <t xml:space="preserve"> (devolutiva 19/01)</t>
  </si>
  <si>
    <t>Daniella Aparecida da Costa Corrêa</t>
  </si>
  <si>
    <t>Anamnese DACC.docx</t>
  </si>
  <si>
    <t>Laudo DACC.docx</t>
  </si>
  <si>
    <t>(31) 99690-3939</t>
  </si>
  <si>
    <t xml:space="preserve">Luiz Péricles da Mota Corrêa </t>
  </si>
  <si>
    <t>Renata</t>
  </si>
  <si>
    <t>daniella.bh@gmail.com</t>
  </si>
  <si>
    <t xml:space="preserve">Davi Henrique Lopes de Sousa </t>
  </si>
  <si>
    <t>Davi Henrique Lopes de Sousa</t>
  </si>
  <si>
    <t>Anamnese Infância e Adolescência - Davi Henrique Lopes de Sousa.pdf</t>
  </si>
  <si>
    <t>Infância - Modelo de Laudo Neuropsicológico FDB (1).docx</t>
  </si>
  <si>
    <t>(31) 98616-1340</t>
  </si>
  <si>
    <t xml:space="preserve">Ingrid leila Lopes de Sousa </t>
  </si>
  <si>
    <t>ingridvendas11@gmail.com</t>
  </si>
  <si>
    <t xml:space="preserve">978.217.806-34 </t>
  </si>
  <si>
    <t>segunda semana de fevereiro</t>
  </si>
  <si>
    <t xml:space="preserve">Davi Henrique Ramos Lírio Borges de Jesus </t>
  </si>
  <si>
    <t>Laudo DHRLBJ</t>
  </si>
  <si>
    <t>(31) 99229-8547</t>
  </si>
  <si>
    <t>Cristiane Ramos Lírio Borges</t>
  </si>
  <si>
    <t>crisralirio2010@gmail.com</t>
  </si>
  <si>
    <t>123.308.376-74</t>
  </si>
  <si>
    <t>Davi Lucca Plautigio Fiuza</t>
  </si>
  <si>
    <t>(31) 98598-9256</t>
  </si>
  <si>
    <t xml:space="preserve">Luana Nunes Fiuza </t>
  </si>
  <si>
    <t>luanafiuzanunes@hotmail.com</t>
  </si>
  <si>
    <t>07549149682</t>
  </si>
  <si>
    <t>Davi Meireles Chaves</t>
  </si>
  <si>
    <t>(31) 98567-2256</t>
  </si>
  <si>
    <t>Simone Meireles</t>
  </si>
  <si>
    <t>Pedro</t>
  </si>
  <si>
    <t>23/01 - 13h</t>
  </si>
  <si>
    <t>simonemeirelespower@gmail.com</t>
  </si>
  <si>
    <t>04544594677</t>
  </si>
  <si>
    <t>Devolutiva dia 23/01</t>
  </si>
  <si>
    <t>Elen de Oliveira Peixoto</t>
  </si>
  <si>
    <t>Anamnese EOP.docx</t>
  </si>
  <si>
    <t>Laudo EOP.docx</t>
  </si>
  <si>
    <t>(31) 98863-6667</t>
  </si>
  <si>
    <t>elenm1@hotmail.com</t>
  </si>
  <si>
    <t>05643344645</t>
  </si>
  <si>
    <t>Eliene Cristina Vieira de Morais</t>
  </si>
  <si>
    <t>Anamnese ECVM.docx</t>
  </si>
  <si>
    <t>Laudo ECVM.docx</t>
  </si>
  <si>
    <t>(31) 97528-4459</t>
  </si>
  <si>
    <t xml:space="preserve">Douglas Henrique Pinto de Morais </t>
  </si>
  <si>
    <t>elienecv15@gmail.com</t>
  </si>
  <si>
    <t>Vitor Rafael Rodrigues Alves</t>
  </si>
  <si>
    <t>Victor Rafael Rodrigues</t>
  </si>
  <si>
    <t>Anamnese Infância e Adolescência (4).docx</t>
  </si>
  <si>
    <t>(31 98105-3244</t>
  </si>
  <si>
    <t>Roney Rodrigues Alves</t>
  </si>
  <si>
    <t>gelainesa24@gmail.com</t>
  </si>
  <si>
    <t>Eloá Quadros Cardoso</t>
  </si>
  <si>
    <t>Emanuel Sanches Rocha</t>
  </si>
  <si>
    <t>Anamnese ESR.docx</t>
  </si>
  <si>
    <t>Laudo ESR.docx</t>
  </si>
  <si>
    <t>(31) 97335-5765</t>
  </si>
  <si>
    <t xml:space="preserve">Luciene Teixeira da Rocha </t>
  </si>
  <si>
    <t xml:space="preserve">lu85457515@gmail.com </t>
  </si>
  <si>
    <t>809.389.736-49</t>
  </si>
  <si>
    <t xml:space="preserve">Lorenzo Medeiro de Santana </t>
  </si>
  <si>
    <t>(31) 97109-1838</t>
  </si>
  <si>
    <t xml:space="preserve">Nicolas Guilherme Gonçalves Medeiro </t>
  </si>
  <si>
    <t>dgdanyglima12@gmail.com</t>
  </si>
  <si>
    <t>149.229.136-61</t>
  </si>
  <si>
    <t xml:space="preserve">Elis Frade Madeira </t>
  </si>
  <si>
    <t>Elis Frade Madeira</t>
  </si>
  <si>
    <t>(31) 98867-9505</t>
  </si>
  <si>
    <t xml:space="preserve">Marcos Paulo Dias Madeira </t>
  </si>
  <si>
    <t>Ana.oraide@gmail.com</t>
  </si>
  <si>
    <t xml:space="preserve">Horacio Neptaly Rojas Conde </t>
  </si>
  <si>
    <t>Horacio Neptaly Rojas Conde</t>
  </si>
  <si>
    <t xml:space="preserve">(31) 98231-6252 </t>
  </si>
  <si>
    <t xml:space="preserve">Yaksibith Yohana Conde Artigas </t>
  </si>
  <si>
    <t>yaksibith.conde@gmail.com</t>
  </si>
  <si>
    <t xml:space="preserve">708.493.682-35 </t>
  </si>
  <si>
    <t>Esther Luiza Lina de Freitas</t>
  </si>
  <si>
    <t>Laudo ELLF.docx</t>
  </si>
  <si>
    <t>Felipe Arduino Antunes</t>
  </si>
  <si>
    <t>Anamnese FAA.docx</t>
  </si>
  <si>
    <t>Laudo FAA.docx</t>
  </si>
  <si>
    <t>(31) 99165-6864</t>
  </si>
  <si>
    <t>Leila de Almeida Arduino Antunes</t>
  </si>
  <si>
    <t>leilaaarduino@hotmail.com</t>
  </si>
  <si>
    <t>Fernanda Cristiane Fernandes Heringer Milagres</t>
  </si>
  <si>
    <t>Anamnese FCFHM.docx</t>
  </si>
  <si>
    <t>Laudo FCFHM.docx</t>
  </si>
  <si>
    <t>(31) 99728-6738</t>
  </si>
  <si>
    <t>Fern</t>
  </si>
  <si>
    <t>01428494614</t>
  </si>
  <si>
    <t>Fernanda Meireles Chaves</t>
  </si>
  <si>
    <t>045445946-77</t>
  </si>
  <si>
    <t>Devolutiva 21/01 Luciana</t>
  </si>
  <si>
    <t xml:space="preserve">Otoniel Josue Rojas Conde </t>
  </si>
  <si>
    <t>Anamnese OJRC.pdf</t>
  </si>
  <si>
    <t>Laudo OJRC.docx</t>
  </si>
  <si>
    <t>708.493.682-35</t>
  </si>
  <si>
    <t>Flávia da Costa Pereira Mattoso</t>
  </si>
  <si>
    <t>(31) 99197-7791</t>
  </si>
  <si>
    <t>flaviamattosofono@gmail.com</t>
  </si>
  <si>
    <t>Vera Lúcia Gonçalves Almeida</t>
  </si>
  <si>
    <t>(31) 99205-5419</t>
  </si>
  <si>
    <t>Gabriel Alves Novaes</t>
  </si>
  <si>
    <t>(31) 98822-9381</t>
  </si>
  <si>
    <t>Jane Alves da Silva novaes</t>
  </si>
  <si>
    <t>jane.a.s.novaes@gmail.com</t>
  </si>
  <si>
    <t>Laudo focado na funcionalidade</t>
  </si>
  <si>
    <t>Gabriel Arcanjo de Paula Peixoto</t>
  </si>
  <si>
    <t>Anamnese GAPP.docx</t>
  </si>
  <si>
    <t>Laudo GAPP.docx</t>
  </si>
  <si>
    <t>(31) 99802-2799</t>
  </si>
  <si>
    <t>Gabriel Arcanjo</t>
  </si>
  <si>
    <t>arck4nj0@gmail.com</t>
  </si>
  <si>
    <t>02236595689</t>
  </si>
  <si>
    <t>Gabriel Henrique Rodrigues Triunfo</t>
  </si>
  <si>
    <t>(31) 98779-4901</t>
  </si>
  <si>
    <t xml:space="preserve">Fabiano Moreira triunfo </t>
  </si>
  <si>
    <t>fabianomtriunfo@hotmail.com</t>
  </si>
  <si>
    <t>01232875619</t>
  </si>
  <si>
    <t>Mandar mensagem</t>
  </si>
  <si>
    <t>Gabriel Peterson Peres Mudado</t>
  </si>
  <si>
    <t>Anamnese GPPM.docx</t>
  </si>
  <si>
    <t>Laudo GPPM.docx</t>
  </si>
  <si>
    <t>(31) 99374-7466</t>
  </si>
  <si>
    <t>Daniel Peterson de Souza Mudado</t>
  </si>
  <si>
    <t>cmfp27@gmail.com</t>
  </si>
  <si>
    <t>05434978609</t>
  </si>
  <si>
    <t xml:space="preserve">Bernardo Nunes de Oliveira </t>
  </si>
  <si>
    <t>(31) 97315-8979</t>
  </si>
  <si>
    <t>Giovanna Gomes Carvalho</t>
  </si>
  <si>
    <t>Anamnese GGC.docx</t>
  </si>
  <si>
    <t>Laudo GGC.docx</t>
  </si>
  <si>
    <t>(31) 99623-6721</t>
  </si>
  <si>
    <t>Gionayra Gomes Silva</t>
  </si>
  <si>
    <t>Graziela</t>
  </si>
  <si>
    <t>gionayra@gmail.com</t>
  </si>
  <si>
    <t>06459708673</t>
  </si>
  <si>
    <t>Guilherme Leão Moreira</t>
  </si>
  <si>
    <t>(31) 99403-9959</t>
  </si>
  <si>
    <t>Leonardo Alberto Moreira</t>
  </si>
  <si>
    <t>marcela.leao@outlook.com</t>
  </si>
  <si>
    <t>065120616-24</t>
  </si>
  <si>
    <t>Guilherme Morais Barreto</t>
  </si>
  <si>
    <t>Anamnese GMB.docx</t>
  </si>
  <si>
    <t>Laudo GMB.docx</t>
  </si>
  <si>
    <t>(31) 99502-4269</t>
  </si>
  <si>
    <t>Wanda Palhares Barreto</t>
  </si>
  <si>
    <t xml:space="preserve">jupmbarreto@gmail.com </t>
  </si>
  <si>
    <t>011.180.316-01</t>
  </si>
  <si>
    <t>Guilherme Tavares Cordeiro Machado</t>
  </si>
  <si>
    <t>Guilherme Tavares Cordeiro</t>
  </si>
  <si>
    <t>Anamnese GTC.docx</t>
  </si>
  <si>
    <t>Laudo GTC.docx</t>
  </si>
  <si>
    <t>(31) 98849-2473</t>
  </si>
  <si>
    <t>guilhermetcordeiro73@gmail.com</t>
  </si>
  <si>
    <t>Gustavo dos Santos Oliveira Lopes Lima</t>
  </si>
  <si>
    <t>Gustavo dos Santos Oliveira</t>
  </si>
  <si>
    <t>Anamnese GSOL.docx</t>
  </si>
  <si>
    <t>Laudo GSOLL.docx</t>
  </si>
  <si>
    <t>(31) 97579-8842</t>
  </si>
  <si>
    <t>Fabíola dos Santos Oliveira Lopes Lima</t>
  </si>
  <si>
    <t>fabiola_hitinha@hotmail.com</t>
  </si>
  <si>
    <t xml:space="preserve">Heitor Gomes Oliveira e Souza </t>
  </si>
  <si>
    <t>Heitor Gomes Oliveira e Souza</t>
  </si>
  <si>
    <t>Anamnese HGOS.docx</t>
  </si>
  <si>
    <t>Laudo HGOS.docx</t>
  </si>
  <si>
    <t>(31) 99220-7211</t>
  </si>
  <si>
    <t>Adriana Pereira de Souza</t>
  </si>
  <si>
    <t>adrianasouza2713@gmail.com</t>
  </si>
  <si>
    <t>186.552.496-45</t>
  </si>
  <si>
    <t>Hugo Gabriel Oliveira Leão</t>
  </si>
  <si>
    <t>Laudo HGOL.docx</t>
  </si>
  <si>
    <t>(31) 99435-4540</t>
  </si>
  <si>
    <t>rerejornalismo@gmail.com</t>
  </si>
  <si>
    <t>174.556.886-79</t>
  </si>
  <si>
    <t>seg, 9h</t>
  </si>
  <si>
    <t xml:space="preserve">Letícia Bethônico Silva Ferreira </t>
  </si>
  <si>
    <t>(31) 98335-5201</t>
  </si>
  <si>
    <t xml:space="preserve">Henrique Drumond Alves </t>
  </si>
  <si>
    <t>(31) 99345-3926</t>
  </si>
  <si>
    <t>Hithallon Roony da Silva Ribeiro</t>
  </si>
  <si>
    <t>Anamnese HRSR.docx</t>
  </si>
  <si>
    <t>(31) 99458-3624</t>
  </si>
  <si>
    <t>Adriano Ribeiro dos Santos</t>
  </si>
  <si>
    <t>ribeiroelaine2021@gmail.com</t>
  </si>
  <si>
    <t>03994036631</t>
  </si>
  <si>
    <t>Augusto Rodrigues da Cruz</t>
  </si>
  <si>
    <t>Anamnese ARC.docx</t>
  </si>
  <si>
    <t>Laudo ARC.docx</t>
  </si>
  <si>
    <t>(31) 99474-8070</t>
  </si>
  <si>
    <t>Adriana de Souza Rodrigues</t>
  </si>
  <si>
    <t>adrianadesouzarodrigues2024@gmail.com</t>
  </si>
  <si>
    <t>162.782.026-46</t>
  </si>
  <si>
    <t>seg, 10h</t>
  </si>
  <si>
    <t>Manuela Fernandes Pimentel</t>
  </si>
  <si>
    <t xml:space="preserve"> (31) 98859-0309</t>
  </si>
  <si>
    <t>Evelyn Giane Oliveira Pimentel</t>
  </si>
  <si>
    <t>Gabriel</t>
  </si>
  <si>
    <t xml:space="preserve">Hyan Gael Ivo da Silva </t>
  </si>
  <si>
    <t>Hyan Gael Ivo da Silva</t>
  </si>
  <si>
    <t>Anamnese HGIS.docx</t>
  </si>
  <si>
    <t>Laudo HGIS</t>
  </si>
  <si>
    <t>(31) 98422-1518</t>
  </si>
  <si>
    <t>Helen Cristiane da Silva Santos</t>
  </si>
  <si>
    <t>helencris100@gmail.com</t>
  </si>
  <si>
    <t>Igor Amaral Lopes</t>
  </si>
  <si>
    <t>Anamnese IAL.docx</t>
  </si>
  <si>
    <t>Laudo IAL.docx</t>
  </si>
  <si>
    <t>(31) 99347-6233</t>
  </si>
  <si>
    <t>igoramaral95@hotmail.com</t>
  </si>
  <si>
    <t>Inglécia dos Santos Santos</t>
  </si>
  <si>
    <t>Inglecia dos Santos Santos</t>
  </si>
  <si>
    <t>Anamnese ISS.docx</t>
  </si>
  <si>
    <t>Laudo ISS.docx</t>
  </si>
  <si>
    <t>(31) 99285-9568</t>
  </si>
  <si>
    <t xml:space="preserve">Inglecia dos Santos Santos </t>
  </si>
  <si>
    <t xml:space="preserve">Ingleciasantos2013@hotmail.com </t>
  </si>
  <si>
    <t>01979988609</t>
  </si>
  <si>
    <t>Pablo Junior de Souza Felício</t>
  </si>
  <si>
    <t>Anamnese PJSF.docx</t>
  </si>
  <si>
    <t>Laudo PJSF.docx</t>
  </si>
  <si>
    <t>(31) 98913-9001</t>
  </si>
  <si>
    <t>Grazielle de Souza Araújo</t>
  </si>
  <si>
    <t>graziellesouza0510@gmail.com</t>
  </si>
  <si>
    <t>189.612.886-60</t>
  </si>
  <si>
    <t>seg, 8h</t>
  </si>
  <si>
    <t>Isadora Stella Bahia Ribeiro</t>
  </si>
  <si>
    <t>Anamnese ISBR.docx</t>
  </si>
  <si>
    <t>Laudo ISBR.docx</t>
  </si>
  <si>
    <t>(31) 98758-8614</t>
  </si>
  <si>
    <t xml:space="preserve">Erli Carla Bahia </t>
  </si>
  <si>
    <t>erlicarlinha@yahoo.com.br</t>
  </si>
  <si>
    <t>038.835.816-58</t>
  </si>
  <si>
    <t>Reunião marcada com a mãe</t>
  </si>
  <si>
    <t>Israel Rodrigues De Figueiredo Mendes</t>
  </si>
  <si>
    <t>(31) 98636-0934</t>
  </si>
  <si>
    <t>Mara Rodrigues de Figueiredo Mendes e Wildes Freire Mendes</t>
  </si>
  <si>
    <t>marapedagogia@bol.com.br</t>
  </si>
  <si>
    <t>05696432603</t>
  </si>
  <si>
    <t>Ravi Soares Barbosa</t>
  </si>
  <si>
    <t>Anamnese RSB.docx</t>
  </si>
  <si>
    <t>Laudo RSB.docx</t>
  </si>
  <si>
    <t>(31) 99915-2515</t>
  </si>
  <si>
    <t>ravisbarbosa@gmail.com</t>
  </si>
  <si>
    <t>579.683.306-53</t>
  </si>
  <si>
    <t>Não está vindo</t>
  </si>
  <si>
    <t>Jeanne Mary Vieira Chequer</t>
  </si>
  <si>
    <t>Anamnese JMVC.docx</t>
  </si>
  <si>
    <t>(31) 99872-5185</t>
  </si>
  <si>
    <t>jeannemary13@gmail.com</t>
  </si>
  <si>
    <t>Jéssica Santos da Costa</t>
  </si>
  <si>
    <t>Anamnese JSC.docx</t>
  </si>
  <si>
    <t>(31) 99815-0639</t>
  </si>
  <si>
    <t xml:space="preserve">Jéssica Santos da Costa </t>
  </si>
  <si>
    <t>jessica.scd@hotmail.com</t>
  </si>
  <si>
    <t>João Bernardo Ferreira Cavalcante</t>
  </si>
  <si>
    <t>(31) 99132-8216</t>
  </si>
  <si>
    <t>Gabriela Ferreira Costa</t>
  </si>
  <si>
    <t>gabrielicostajb@gmail.com</t>
  </si>
  <si>
    <t>033.598.483-57</t>
  </si>
  <si>
    <t>Limite início de fevereiro (o pai é o rodrigo???)</t>
  </si>
  <si>
    <t>João Lucas Ashbel Machado</t>
  </si>
  <si>
    <t>João Miguel Ferreira dos Santos</t>
  </si>
  <si>
    <t>Anamnese JMFS.docx</t>
  </si>
  <si>
    <t>Laudo JMFS.docx</t>
  </si>
  <si>
    <t>(31) 99990-8703</t>
  </si>
  <si>
    <t>Márcia Cristina Rodrigues dos Santos</t>
  </si>
  <si>
    <t>cristhyta.sr@gmail.com</t>
  </si>
  <si>
    <t>João Miguel Vieira de Souza Reis</t>
  </si>
  <si>
    <t>Anamnese JMVSR.docx</t>
  </si>
  <si>
    <t>Laudo JMVSR</t>
  </si>
  <si>
    <t>(31) 98786-2505</t>
  </si>
  <si>
    <t>Ianamara Vieira de Souza</t>
  </si>
  <si>
    <t>Amanda Guimarães</t>
  </si>
  <si>
    <t>ianavieira465@gmail.com</t>
  </si>
  <si>
    <t>052.207.046-99</t>
  </si>
  <si>
    <t>Avaliando as pastas do paciente na Fundação</t>
  </si>
  <si>
    <t>João Paulo Lopes Bueno</t>
  </si>
  <si>
    <t>Anamnese JPLB.docx</t>
  </si>
  <si>
    <t>Laudo JPLB.docx</t>
  </si>
  <si>
    <t>(31) 98630-7075</t>
  </si>
  <si>
    <t xml:space="preserve">Poliana Da Silva Lopes </t>
  </si>
  <si>
    <t>polianasilva.lopes@yahoo.com.br</t>
  </si>
  <si>
    <t>078.927.396-96</t>
  </si>
  <si>
    <t>Ligar para a escola</t>
  </si>
  <si>
    <t>Flora Gonçalves de Moraes</t>
  </si>
  <si>
    <t>(31) 99855-6477</t>
  </si>
  <si>
    <t>Lorena Natasha Gonçalves de Barros</t>
  </si>
  <si>
    <t>João Pedro Rodrigues Teixeira de Amorim</t>
  </si>
  <si>
    <t>Anamnese JPRTA.docx</t>
  </si>
  <si>
    <t>Laudo JPRTA.docx</t>
  </si>
  <si>
    <t xml:space="preserve">(31) 99229-6130 </t>
  </si>
  <si>
    <t xml:space="preserve">Paulo Henrique Teixeira de Amorim </t>
  </si>
  <si>
    <t>rauanysouza2012@hotmail.com</t>
  </si>
  <si>
    <t>Miguel Lourenço Gomes</t>
  </si>
  <si>
    <t>(31) 98697-8872</t>
  </si>
  <si>
    <t>Juliana Lourenço Gomes</t>
  </si>
  <si>
    <t>Rafaela</t>
  </si>
  <si>
    <t>Ketlen Vitória Viana faria Oliveira</t>
  </si>
  <si>
    <t>Ketlen Vitória Viana Faria Oliveira</t>
  </si>
  <si>
    <t>Anamnese KVVFO.docx</t>
  </si>
  <si>
    <t>(31) 98727-7130</t>
  </si>
  <si>
    <t xml:space="preserve">Raquel Viana faria Oliveira </t>
  </si>
  <si>
    <t>raquelvianafariaoliveira@gmail.com</t>
  </si>
  <si>
    <t>07543862603</t>
  </si>
  <si>
    <t xml:space="preserve">Kevyn Pietro Oliveira Santana </t>
  </si>
  <si>
    <t>Kevyn Pietro oliveira Sant Ana</t>
  </si>
  <si>
    <t>(31) 98311-8353</t>
  </si>
  <si>
    <t xml:space="preserve">Naiara Flávia de Oliveira </t>
  </si>
  <si>
    <t>naiaraflaviaoliveira@hotmail.com</t>
  </si>
  <si>
    <t>05/02 14h</t>
  </si>
  <si>
    <t xml:space="preserve">Laura Grossi Monteiro de Castro </t>
  </si>
  <si>
    <t>Laura Grossi Monteiro de Castro</t>
  </si>
  <si>
    <t>Anamnese LGMC</t>
  </si>
  <si>
    <t>(31) 9469-3250</t>
  </si>
  <si>
    <t xml:space="preserve">Bárbara Grossi Monteiro de Castro </t>
  </si>
  <si>
    <t>pcmmc2013@gmail.com</t>
  </si>
  <si>
    <t>Devolutiva 20/01 14h</t>
  </si>
  <si>
    <t>Leônidas Vitor Trindade Rosa</t>
  </si>
  <si>
    <t>Anamnese LVTR.docx</t>
  </si>
  <si>
    <t>(31) 99151-2208</t>
  </si>
  <si>
    <t xml:space="preserve">Cátia Cristina Claudiano Trindade </t>
  </si>
  <si>
    <t>catiaclaudianotrindade@gmail.com</t>
  </si>
  <si>
    <t>00144065606</t>
  </si>
  <si>
    <t>Matheus Henrique De Oliveira Santos</t>
  </si>
  <si>
    <t>Matheus Henrique de Oliveira Santos</t>
  </si>
  <si>
    <t>Anamnese MHOS</t>
  </si>
  <si>
    <t>Laudo MHOS.docx</t>
  </si>
  <si>
    <t>(31) 97120-3085</t>
  </si>
  <si>
    <t>Raimunda Vieira Fernandes Santos</t>
  </si>
  <si>
    <t>raimundavieirafernandes@gmail.com</t>
  </si>
  <si>
    <t>152.824.006-50</t>
  </si>
  <si>
    <t>sex, 10h</t>
  </si>
  <si>
    <t>Letícia Farney Costa Gomes</t>
  </si>
  <si>
    <t>(31) 99445-1659</t>
  </si>
  <si>
    <t xml:space="preserve">Cristiane Áurea Costa Gomes </t>
  </si>
  <si>
    <t>cristiane.aurea@hotmail.com</t>
  </si>
  <si>
    <t xml:space="preserve">043.040.466-24 </t>
  </si>
  <si>
    <t xml:space="preserve"> (a mãe não ta preocupada)</t>
  </si>
  <si>
    <t>Letícia Pereira Quintaes Godinho</t>
  </si>
  <si>
    <t>Anamnese LPQG.docx</t>
  </si>
  <si>
    <t>Desistência</t>
  </si>
  <si>
    <t>(31) 99678-6885</t>
  </si>
  <si>
    <t xml:space="preserve">Letícia Pereira Quintaes Godinho </t>
  </si>
  <si>
    <t>leticiaquintaes-2019@hotmail.com</t>
  </si>
  <si>
    <t>06979753630</t>
  </si>
  <si>
    <t>Ligiele Carla Resende de Oliveira</t>
  </si>
  <si>
    <t>Anamnese LCRO.docx</t>
  </si>
  <si>
    <t>Laudo LCRO.docx</t>
  </si>
  <si>
    <t>(31) 98299-3558</t>
  </si>
  <si>
    <t>ligiele@gmail.com</t>
  </si>
  <si>
    <t>01430102632</t>
  </si>
  <si>
    <t>Lívia Magalhães Costa</t>
  </si>
  <si>
    <t>(31) 98338-3150</t>
  </si>
  <si>
    <t>Naidy Augusta Braga Magalhães</t>
  </si>
  <si>
    <t>Aurea</t>
  </si>
  <si>
    <t>naidycmd@gmail.com</t>
  </si>
  <si>
    <t>Lorena Campos Rosa</t>
  </si>
  <si>
    <t>Anamnese LCR.docx</t>
  </si>
  <si>
    <t>Laudo LCR.docx</t>
  </si>
  <si>
    <t>(31) 97544-0698</t>
  </si>
  <si>
    <t xml:space="preserve">Tatiane Michele Campos de Oliveira Rosa </t>
  </si>
  <si>
    <t>locarosa02@gmail.com</t>
  </si>
  <si>
    <t>01307713688</t>
  </si>
  <si>
    <t>Benjamin Kandur Silva Cangussu</t>
  </si>
  <si>
    <t>Anamnese BKSC</t>
  </si>
  <si>
    <t>Laudo BKSC.docx</t>
  </si>
  <si>
    <t>(31) 97166-4573</t>
  </si>
  <si>
    <t>Luana Maira Silva Vieira</t>
  </si>
  <si>
    <t>vieiralums@gmail.com</t>
  </si>
  <si>
    <t>140.697.206-18</t>
  </si>
  <si>
    <t>qui, 11h</t>
  </si>
  <si>
    <t>Luan Victor Reis da Silva Lopes</t>
  </si>
  <si>
    <t>Laudo LVRSL.docx</t>
  </si>
  <si>
    <t>(31) 99502-1093</t>
  </si>
  <si>
    <t>Shelen Reis Da Silva Lopes</t>
  </si>
  <si>
    <t>shelenreisdasilvalopes92@gmail.com</t>
  </si>
  <si>
    <t>Lucas Baudson Alves</t>
  </si>
  <si>
    <t xml:space="preserve">(31) 99255-1712 </t>
  </si>
  <si>
    <t xml:space="preserve">Lucas Baudson Alves </t>
  </si>
  <si>
    <t>baudson.lucas@gmail.com</t>
  </si>
  <si>
    <t>Lucas Gabriel Dornelas Gomes</t>
  </si>
  <si>
    <t>(31) 99813-8137</t>
  </si>
  <si>
    <t xml:space="preserve">Irineia Dornelas </t>
  </si>
  <si>
    <t>irineiadornelas@yahoo.com.br</t>
  </si>
  <si>
    <t>00648766675</t>
  </si>
  <si>
    <t xml:space="preserve">Lucas Ricardo dos Santos Manço </t>
  </si>
  <si>
    <t>Anamnese LRSM.docx</t>
  </si>
  <si>
    <t>Laudo LRSM.docx</t>
  </si>
  <si>
    <t>(31) 97121-6869</t>
  </si>
  <si>
    <t>lucasricardosanto@gmail.com</t>
  </si>
  <si>
    <t>Lucelia Barbosa</t>
  </si>
  <si>
    <t>(31) 98795-7786</t>
  </si>
  <si>
    <t xml:space="preserve">Lucélia Barbosa </t>
  </si>
  <si>
    <t>Lucelia.brasil@yahoo.com.br</t>
  </si>
  <si>
    <t xml:space="preserve">068.616.716-30 </t>
  </si>
  <si>
    <t>Luis Philipe Barbosa dos Santos</t>
  </si>
  <si>
    <t>(31) 99502-3449</t>
  </si>
  <si>
    <t xml:space="preserve">Orquenea Sousa Santos </t>
  </si>
  <si>
    <t>Vanessa</t>
  </si>
  <si>
    <t>Orqueneasousasantos@gmail.com</t>
  </si>
  <si>
    <t xml:space="preserve">122.956.786-09 </t>
  </si>
  <si>
    <t>Luiz Felipe Martins Motta</t>
  </si>
  <si>
    <t>Anamnese LFMM.docx</t>
  </si>
  <si>
    <t>Laudo LFMM.docx</t>
  </si>
  <si>
    <t>(31) 97315-5646</t>
  </si>
  <si>
    <t xml:space="preserve">Natália Alves Pinto Motta </t>
  </si>
  <si>
    <t>nataliaalvespintomotta@gmail.com</t>
  </si>
  <si>
    <t>Luiz Romaniello Neto</t>
  </si>
  <si>
    <t>(31) 99629-1515</t>
  </si>
  <si>
    <t>luizromaniello@gmail.com</t>
  </si>
  <si>
    <t>05547441635</t>
  </si>
  <si>
    <t>Luz Marina Rodrigues da Silva</t>
  </si>
  <si>
    <t>(31) 99687-0504</t>
  </si>
  <si>
    <t xml:space="preserve">Luz Marina Rodrigues da Silva </t>
  </si>
  <si>
    <t>luzmarinaawa@gmail.com</t>
  </si>
  <si>
    <t>04461305678</t>
  </si>
  <si>
    <t>Lydia Linon Batista Lemos</t>
  </si>
  <si>
    <t>Anamnese LLBL</t>
  </si>
  <si>
    <t>Laudo LLBL.docx</t>
  </si>
  <si>
    <t>(31) 98786-0846</t>
  </si>
  <si>
    <t>lyyyh1.8@gmail.com</t>
  </si>
  <si>
    <t>Maira Danielle Oliveira Santos</t>
  </si>
  <si>
    <t>Maíra Danielle Oliveira Santos</t>
  </si>
  <si>
    <t>ANAMNESE – Maíra Danielle Oliveira Santos.docx</t>
  </si>
  <si>
    <t>(31) 99982-2789</t>
  </si>
  <si>
    <t>mairadanielle.s@gmail.com</t>
  </si>
  <si>
    <t>Erick Araújo Alves</t>
  </si>
  <si>
    <t>(31) 98463-6004</t>
  </si>
  <si>
    <t>Fernanda Araújo dos Santos Alves</t>
  </si>
  <si>
    <t>Marcela Nunes de Oliveira Souza</t>
  </si>
  <si>
    <t>(31) 98890-0924</t>
  </si>
  <si>
    <t>Eliene Nunes souza</t>
  </si>
  <si>
    <t>elienenunes.souza@gmail.com</t>
  </si>
  <si>
    <t>01276621620</t>
  </si>
  <si>
    <t>Marcos Henrique Tenório Almeida</t>
  </si>
  <si>
    <t>Anamnese MHTA.docx</t>
  </si>
  <si>
    <t>(31) 99324-9610</t>
  </si>
  <si>
    <t>Fabiana Cristina Reis Tenório</t>
  </si>
  <si>
    <t>fabiana.tenorio86@gmail.com</t>
  </si>
  <si>
    <t>07861784690</t>
  </si>
  <si>
    <t>Maria Cecília Garcia Paradizi</t>
  </si>
  <si>
    <t>Anamnese MCGP.docx</t>
  </si>
  <si>
    <t>Laudo MCGP.docx</t>
  </si>
  <si>
    <t>(31) 98487-5694</t>
  </si>
  <si>
    <t>cissagarcia@gmail.com</t>
  </si>
  <si>
    <t>05220943685</t>
  </si>
  <si>
    <t>Maria Flor Santos Freitas</t>
  </si>
  <si>
    <t>Anamnese MFSF.pdf</t>
  </si>
  <si>
    <t>Laudo MFSF</t>
  </si>
  <si>
    <t>(31) 99418-4004</t>
  </si>
  <si>
    <t>Caroline Lohana Santos Freitas</t>
  </si>
  <si>
    <t>carolinefreitas453@gmail.com</t>
  </si>
  <si>
    <t>Maria Helena Orlandi Campos e Ávila</t>
  </si>
  <si>
    <t>Anamnese MHOCA</t>
  </si>
  <si>
    <t>(38) 98823-2062</t>
  </si>
  <si>
    <t>lenamhoc@yahoo.com.br</t>
  </si>
  <si>
    <t>Maria Isabel Clemente Liberato</t>
  </si>
  <si>
    <t>Anamnese MICL.docx</t>
  </si>
  <si>
    <t>Laudo MICL.docx</t>
  </si>
  <si>
    <t>(31) 98119-6804</t>
  </si>
  <si>
    <t>isabelliberato2011@gmail.com</t>
  </si>
  <si>
    <t>Maria Luísa Fracalossi Ferreira</t>
  </si>
  <si>
    <t>Anamnese MLFF.docx</t>
  </si>
  <si>
    <t>Laudo MLFF.docx</t>
  </si>
  <si>
    <t>(31) 99932-5501</t>
  </si>
  <si>
    <t xml:space="preserve">Verisa Fracalossi Pimenta </t>
  </si>
  <si>
    <t>vfpimenta@gmail.com</t>
  </si>
  <si>
    <t>147.465.606-41</t>
  </si>
  <si>
    <t>Iracy Magalhães Guedes</t>
  </si>
  <si>
    <t>Anamnese IMG</t>
  </si>
  <si>
    <t>Laudo IMG.docx</t>
  </si>
  <si>
    <t>(31) 98848-4875</t>
  </si>
  <si>
    <t>Jonas Souza Braun</t>
  </si>
  <si>
    <t>jannesjannescarvalho@gmail.com</t>
  </si>
  <si>
    <t>071.235.036-51</t>
  </si>
  <si>
    <t>seg, 11h</t>
  </si>
  <si>
    <t>Mariane Marcial Alves</t>
  </si>
  <si>
    <t>Anamnese MMA.docx</t>
  </si>
  <si>
    <t>Laudo MMA.docx</t>
  </si>
  <si>
    <t>(31)996646537</t>
  </si>
  <si>
    <t>José Francisco Alves</t>
  </si>
  <si>
    <t>marianemarcial07@gmail.com</t>
  </si>
  <si>
    <t>606.824.186-68</t>
  </si>
  <si>
    <t>Mateus Gandos de Castro</t>
  </si>
  <si>
    <t>(31) 99543-9803</t>
  </si>
  <si>
    <t>Michelle mãe</t>
  </si>
  <si>
    <t>michellegandos12@gmail.com</t>
  </si>
  <si>
    <t>Mateus Ramos Lirio Borges de Jesus</t>
  </si>
  <si>
    <t>Mateus Ramos Lírio Borges de Jesus</t>
  </si>
  <si>
    <t>Anamnese MRLBJ.docx</t>
  </si>
  <si>
    <t>Laudo MRLBJ.docx</t>
  </si>
  <si>
    <t>Cristiane Ramos Lirio Borges</t>
  </si>
  <si>
    <t>08109802664</t>
  </si>
  <si>
    <t>Rafael Ricoy Silva de Souza</t>
  </si>
  <si>
    <t>Laudo RRSS.docx</t>
  </si>
  <si>
    <t>(31) 98206-8830</t>
  </si>
  <si>
    <t>Dirceu Cândido de Souza</t>
  </si>
  <si>
    <r>
      <rPr>
        <rFont val="Arial"/>
        <color rgb="FF000000"/>
        <sz val="9.0"/>
      </rPr>
      <t>dani1702.bh</t>
    </r>
    <r>
      <rPr>
        <rFont val="Arial"/>
        <color theme="1"/>
        <sz val="9.0"/>
      </rPr>
      <t>@gmail.com</t>
    </r>
  </si>
  <si>
    <t>151.861.346-27</t>
  </si>
  <si>
    <t>seg, 14h</t>
  </si>
  <si>
    <t>Matheus Oliveira Nepomuceno</t>
  </si>
  <si>
    <t>Anamnese MON.docx</t>
  </si>
  <si>
    <t>Laudo MON.docx</t>
  </si>
  <si>
    <t>(31) 98414-3633</t>
  </si>
  <si>
    <t>Tânia Shirlei de Oliveira Nepomuceno</t>
  </si>
  <si>
    <t>Lívia</t>
  </si>
  <si>
    <t>tanian960@gmail.com</t>
  </si>
  <si>
    <t>03448309699</t>
  </si>
  <si>
    <t>Matheus Righi Santos</t>
  </si>
  <si>
    <t>(31) 98470-4392</t>
  </si>
  <si>
    <t>Juliana Costa Righi</t>
  </si>
  <si>
    <t>jurighipsi@gmail.com</t>
  </si>
  <si>
    <t>00149178662/327836636-00</t>
  </si>
  <si>
    <t>Angelita Izabel Pereira</t>
  </si>
  <si>
    <t>(31) 987449379</t>
  </si>
  <si>
    <t>Breno Costa Canguçu</t>
  </si>
  <si>
    <t>(71) 98732-1418</t>
  </si>
  <si>
    <t>046.652.545-16</t>
  </si>
  <si>
    <t>Mayla Matos Ferreira</t>
  </si>
  <si>
    <t>Anamnese MMF.docx</t>
  </si>
  <si>
    <t>Laudo MMF.docx</t>
  </si>
  <si>
    <t>(31) 99997-7237</t>
  </si>
  <si>
    <t>Silvia Maria Teixeira Lopes</t>
  </si>
  <si>
    <t>Tatiana Souto</t>
  </si>
  <si>
    <t>152.730.797-21</t>
  </si>
  <si>
    <t>Michellini dos Reis Foureaux</t>
  </si>
  <si>
    <t>Anamnese MRF.docx</t>
  </si>
  <si>
    <t>Laudo MRF.docx</t>
  </si>
  <si>
    <t>(31) 97246-3799</t>
  </si>
  <si>
    <t xml:space="preserve">Michellini dos Reis Foureaux </t>
  </si>
  <si>
    <t xml:space="preserve">michellinirf@gmail.com </t>
  </si>
  <si>
    <t>04478263604</t>
  </si>
  <si>
    <t>Miguel Augusto de Oliveira Torres</t>
  </si>
  <si>
    <t>(31) 99734-3422</t>
  </si>
  <si>
    <t xml:space="preserve">César Augusto Torres </t>
  </si>
  <si>
    <t>Débora </t>
  </si>
  <si>
    <t>fabioliveirabh@hotmail.com</t>
  </si>
  <si>
    <t xml:space="preserve">611.297.126-72 </t>
  </si>
  <si>
    <t>Miguel Gomes Alves</t>
  </si>
  <si>
    <t>Laudo MGA.docx</t>
  </si>
  <si>
    <t>(31) 98556-5531</t>
  </si>
  <si>
    <t xml:space="preserve">Heidy Silva Alves </t>
  </si>
  <si>
    <t>Heidymarcos23@gmail.com</t>
  </si>
  <si>
    <t xml:space="preserve">112.001.946-08 </t>
  </si>
  <si>
    <t>Miguel Linhares de Sousa</t>
  </si>
  <si>
    <t xml:space="preserve">(31) 99669-3845 </t>
  </si>
  <si>
    <t>GLláucia Linhares da Silva</t>
  </si>
  <si>
    <t>glaucia.linharess@gmail.com</t>
  </si>
  <si>
    <t xml:space="preserve">037.852.577-83 </t>
  </si>
  <si>
    <t>Rebeca Kelly Menezes Guedes</t>
  </si>
  <si>
    <t>(31) 99329-9125</t>
  </si>
  <si>
    <t>078.622.445-24</t>
  </si>
  <si>
    <t>Miguel Simião Xavier Pereira</t>
  </si>
  <si>
    <t>Anamnese MSXP.docx</t>
  </si>
  <si>
    <t>Laudo MSXP.docx</t>
  </si>
  <si>
    <t>(31) 99689-1028</t>
  </si>
  <si>
    <t>Rafael Simião Marques Pereira</t>
  </si>
  <si>
    <t>lucianarodrigues7@hotmail.com</t>
  </si>
  <si>
    <t>05476546693</t>
  </si>
  <si>
    <t>Gabriela Dias de Oliveira Montovani</t>
  </si>
  <si>
    <t>Gabriela Dias de Oliveira Mantovani</t>
  </si>
  <si>
    <t>Anamnese GDOM</t>
  </si>
  <si>
    <t>Laudo GDOM.docx</t>
  </si>
  <si>
    <t>(31) 98809-4088</t>
  </si>
  <si>
    <t>gabriela.his@hotmail.com</t>
  </si>
  <si>
    <t>041.817.756-23</t>
  </si>
  <si>
    <t>ter, 9h</t>
  </si>
  <si>
    <t>Mirian Rodrigues de Morais</t>
  </si>
  <si>
    <t>(31) 99906-7957</t>
  </si>
  <si>
    <t>Nathalia Machado Domingos Souza Lima</t>
  </si>
  <si>
    <t>(33) 99126-4156</t>
  </si>
  <si>
    <t xml:space="preserve">Nathalia Machado Domingos Souza Lima </t>
  </si>
  <si>
    <t>nathaliamail@gmail.com</t>
  </si>
  <si>
    <t>09584873679</t>
  </si>
  <si>
    <t>Nathan Phelipe Silva Rodrigues</t>
  </si>
  <si>
    <t xml:space="preserve">Nathan Phelipe Silva Rodrigues </t>
  </si>
  <si>
    <t>Anamnese NPSR.docx</t>
  </si>
  <si>
    <t>(31) 99284-5924</t>
  </si>
  <si>
    <t>nathanpsrodrigues@gmail.com</t>
  </si>
  <si>
    <t>Noah Felipe Franco Bueno</t>
  </si>
  <si>
    <t>(31) 98347-8590</t>
  </si>
  <si>
    <t xml:space="preserve">Lucinea Ferreira dos Santos </t>
  </si>
  <si>
    <t>Lucineafs.37@hotmail.com</t>
  </si>
  <si>
    <t xml:space="preserve">025.052.296 94 </t>
  </si>
  <si>
    <t>Alexandre Luciano Tinoco</t>
  </si>
  <si>
    <t>Anamnese ALT</t>
  </si>
  <si>
    <t>Laudo ALT.docx</t>
  </si>
  <si>
    <t>(31) 99238-0900</t>
  </si>
  <si>
    <t>silvinhamax@hotmail.com</t>
  </si>
  <si>
    <t>qui, 16h</t>
  </si>
  <si>
    <t>Erick Filipe Lacerda dos Santos</t>
  </si>
  <si>
    <t>Anamnese EFLS</t>
  </si>
  <si>
    <t>Laudo EFLS.docx</t>
  </si>
  <si>
    <t>(31) 99256-0705</t>
  </si>
  <si>
    <t>Talita Grazielle dos Santos</t>
  </si>
  <si>
    <t>tgrazielle13@gmail.com</t>
  </si>
  <si>
    <t>178.368.736-33</t>
  </si>
  <si>
    <t>qui, 14h</t>
  </si>
  <si>
    <t>Pedro Celestino Pires Kosiniuk</t>
  </si>
  <si>
    <t>Anamnese PCPK.docx</t>
  </si>
  <si>
    <t>(31) 97514-7054</t>
  </si>
  <si>
    <t xml:space="preserve">Cristiane Aparecida Kosiniuk </t>
  </si>
  <si>
    <t xml:space="preserve">Criskosiniuk@gmail.com </t>
  </si>
  <si>
    <t>03123609677</t>
  </si>
  <si>
    <t xml:space="preserve">Pedro Chaves Pimenta </t>
  </si>
  <si>
    <t>Anamnese PCP.docx</t>
  </si>
  <si>
    <t>Laudo PCP.docx</t>
  </si>
  <si>
    <t>(31) 98794-9789</t>
  </si>
  <si>
    <t xml:space="preserve">Eliene da Glória Chaves Pimenta </t>
  </si>
  <si>
    <t>elienegchaves@gmail.com</t>
  </si>
  <si>
    <t>960.548.756-04</t>
  </si>
  <si>
    <t>Poliana da Silva Lopes</t>
  </si>
  <si>
    <t>(31) 99169-0671</t>
  </si>
  <si>
    <t>Polliany Sincero Nunes Fialho da Silva</t>
  </si>
  <si>
    <t>(31) 99338-8715</t>
  </si>
  <si>
    <t xml:space="preserve">Polliany Sincero Nunes Fialho da Silva </t>
  </si>
  <si>
    <t>pollyfialho@hotmail.com</t>
  </si>
  <si>
    <t>08402883605</t>
  </si>
  <si>
    <t>Rafael Caetano Teixeira</t>
  </si>
  <si>
    <t>Anamnese RCT.docx</t>
  </si>
  <si>
    <t>Laudo RCT.docx</t>
  </si>
  <si>
    <t>(38) 99867-6521</t>
  </si>
  <si>
    <t>Luciana Caetano Fonseca</t>
  </si>
  <si>
    <t>lucianacaetano2006@yahoo.com.br</t>
  </si>
  <si>
    <t>05720298614</t>
  </si>
  <si>
    <t>Rafael Henrique Ribeiro Miranda</t>
  </si>
  <si>
    <t>Anamnese RHRM.pdf</t>
  </si>
  <si>
    <t>Laudo RHR.docx</t>
  </si>
  <si>
    <t>(31) 8225-8806</t>
  </si>
  <si>
    <t>Priscila miranda machado</t>
  </si>
  <si>
    <t>primiranda@yahoo.com.br</t>
  </si>
  <si>
    <t>Theo Felipe Ferreira da Silva</t>
  </si>
  <si>
    <t>Anamnese TFFS</t>
  </si>
  <si>
    <t>Laudo TFFS.docx</t>
  </si>
  <si>
    <t>(31) 98271-9942</t>
  </si>
  <si>
    <t>Helen Juliana Ferreira</t>
  </si>
  <si>
    <t>ingridferreiraconsultora@gmail.com</t>
  </si>
  <si>
    <t>188.542.396-90</t>
  </si>
  <si>
    <t>qui, 15h</t>
  </si>
  <si>
    <t>Rafael Rodrigues de Faria</t>
  </si>
  <si>
    <t>Anamnese RRF.docx</t>
  </si>
  <si>
    <t>Laudo RRF.docx</t>
  </si>
  <si>
    <t>(31)997583130</t>
  </si>
  <si>
    <t xml:space="preserve">Rafael Rodrigues de Faria </t>
  </si>
  <si>
    <t>rafaelrodrigues.personal@gmail.com</t>
  </si>
  <si>
    <t>054595156-96</t>
  </si>
  <si>
    <t>Rafaella Cristina Pereira de Amorim</t>
  </si>
  <si>
    <t>(31) 97126-5246</t>
  </si>
  <si>
    <t xml:space="preserve">Angelina Pereira </t>
  </si>
  <si>
    <t>angelina2016pereira@gmail.com</t>
  </si>
  <si>
    <t>05482004678</t>
  </si>
  <si>
    <t>Raí Sousa Aris</t>
  </si>
  <si>
    <t>Anamnese RSA.docx</t>
  </si>
  <si>
    <t>Laudo RSA.docx</t>
  </si>
  <si>
    <t>(31) 97580-5121</t>
  </si>
  <si>
    <t>Olga</t>
  </si>
  <si>
    <t>raiaris11@gmail.com</t>
  </si>
  <si>
    <t>Raul Braga lima</t>
  </si>
  <si>
    <t>Raul Braga Lima</t>
  </si>
  <si>
    <t>Anamnese RBL.docx</t>
  </si>
  <si>
    <t>Laudo RBL.docx</t>
  </si>
  <si>
    <t>(31) 99218-2748</t>
  </si>
  <si>
    <t>Norton Lima Oliveira</t>
  </si>
  <si>
    <t>Norton_lima@hotmail.com</t>
  </si>
  <si>
    <t>Érica Bruschi Alves</t>
  </si>
  <si>
    <t>Anamnese EBA</t>
  </si>
  <si>
    <t>Laudo EBA.docx</t>
  </si>
  <si>
    <t>(31) 98543-1060</t>
  </si>
  <si>
    <t>labruschi@gmail.com</t>
  </si>
  <si>
    <t>056.252.416-94</t>
  </si>
  <si>
    <t>ter, 11h</t>
  </si>
  <si>
    <t>Janaína Ferreira Lana</t>
  </si>
  <si>
    <t>(31) 99811-6297</t>
  </si>
  <si>
    <t>Renata Moreira Lobo</t>
  </si>
  <si>
    <t>(31) 99327-4669</t>
  </si>
  <si>
    <t xml:space="preserve">Patrícia Carla Moreira Lobo Guimarães </t>
  </si>
  <si>
    <t>pcmlguimaraes@gmail.com</t>
  </si>
  <si>
    <t>Richard Phillipe de Souza Sales</t>
  </si>
  <si>
    <t>Anamnese RPSS.docx</t>
  </si>
  <si>
    <t>Laudo RPSS.docx</t>
  </si>
  <si>
    <t>(31) 98772-2048</t>
  </si>
  <si>
    <t>Jeniffer Shaiene do Nascimento de Sales</t>
  </si>
  <si>
    <t>jeniffershaiene@hotmail.com</t>
  </si>
  <si>
    <t>Roberta Yasmin Nascimento Feller</t>
  </si>
  <si>
    <t>(93) 99176-3580</t>
  </si>
  <si>
    <t xml:space="preserve">Lucicleia Pereira do Nascimento </t>
  </si>
  <si>
    <t>roberminascimento@gmail.com</t>
  </si>
  <si>
    <t>João Victor Favero de Andrade</t>
  </si>
  <si>
    <t>Alisson Ricardo de Andrade</t>
  </si>
  <si>
    <t>Rômulo Luiz de Carvalho</t>
  </si>
  <si>
    <t>Anamnese RLC.pdf</t>
  </si>
  <si>
    <t>Laudo RLC.docx</t>
  </si>
  <si>
    <t>(31) 98863-7390</t>
  </si>
  <si>
    <t>Romulo Luiz de Carvalho</t>
  </si>
  <si>
    <t>romuloluizcarvalho@hotmail.com</t>
  </si>
  <si>
    <t xml:space="preserve"> (esperando ele enviar a anamnese)</t>
  </si>
  <si>
    <t>Ronald Kerlon da Silva Ferreira</t>
  </si>
  <si>
    <t>Anamnese RKSF.docx</t>
  </si>
  <si>
    <t>Laudo RKSF.docx</t>
  </si>
  <si>
    <t>(31) 99176-3983</t>
  </si>
  <si>
    <t>701.636.116-02</t>
  </si>
  <si>
    <t>Esperando os questionários do paciente</t>
  </si>
  <si>
    <t>Samyra Isabelly Faria Oliveira</t>
  </si>
  <si>
    <t>Anamnese SIFO.docx</t>
  </si>
  <si>
    <t>Laudo SIFO.docx</t>
  </si>
  <si>
    <t>Nathalia </t>
  </si>
  <si>
    <t>Theo de Almeida Lima</t>
  </si>
  <si>
    <t>(31) 99907-3214</t>
  </si>
  <si>
    <t>Lorena Francielle de Almeida</t>
  </si>
  <si>
    <t>Selena Carvalho Bernardo</t>
  </si>
  <si>
    <t>(31) 99573-2129</t>
  </si>
  <si>
    <t xml:space="preserve">Daiane Carvalho Almeida </t>
  </si>
  <si>
    <t>daiane.car18@gmail.com</t>
  </si>
  <si>
    <t>083.283.716-42</t>
  </si>
  <si>
    <t>Alice Chiaretti dos Reis</t>
  </si>
  <si>
    <t>Anamnese ACR</t>
  </si>
  <si>
    <t>Laudo ACR</t>
  </si>
  <si>
    <t>(31) 98256-0511</t>
  </si>
  <si>
    <t>Débora Virgínia Chiaretti dos Reis</t>
  </si>
  <si>
    <t>deborachiaretti@gmail.com</t>
  </si>
  <si>
    <t>148.144.566-97</t>
  </si>
  <si>
    <t>sex, 15h</t>
  </si>
  <si>
    <t>Stela Souza Carvalho</t>
  </si>
  <si>
    <t>Anamnese SSC.docx</t>
  </si>
  <si>
    <t>(31) 99663-0262</t>
  </si>
  <si>
    <t xml:space="preserve">Livia Moreira Carvalho </t>
  </si>
  <si>
    <t>liviamoreiracarvalho2918@gmail.com</t>
  </si>
  <si>
    <t>07800939685</t>
  </si>
  <si>
    <t>Stella Souza Nagem</t>
  </si>
  <si>
    <t>Anamnese SSN.docx</t>
  </si>
  <si>
    <t>Laudo SSN.docx</t>
  </si>
  <si>
    <t>(31) 97308-3213</t>
  </si>
  <si>
    <t xml:space="preserve">Nágila Paula da Silva Nagem </t>
  </si>
  <si>
    <t>nagilanagem@yahoo.com.br</t>
  </si>
  <si>
    <t>07643720681</t>
  </si>
  <si>
    <t>Anamnese TBOQ.docx</t>
  </si>
  <si>
    <t>Laudo TBOQ.docx</t>
  </si>
  <si>
    <t>Thalison Cristian Freitas de Jesus</t>
  </si>
  <si>
    <t>Anamnese TCFJ.docx</t>
  </si>
  <si>
    <t>Laudo TCFJ.docx</t>
  </si>
  <si>
    <t>(31) 98231-4903</t>
  </si>
  <si>
    <t>Tatiane de Freitas Lucas de Jesus</t>
  </si>
  <si>
    <t>tatianefreitas346658@gmail.com</t>
  </si>
  <si>
    <t>167.349.306-88</t>
  </si>
  <si>
    <t>Theo Alvarez Palmeiras</t>
  </si>
  <si>
    <t>Infância - Modelo de Laudo Neuropsicológico FDB.docx</t>
  </si>
  <si>
    <t xml:space="preserve">(31) 99982-9067 </t>
  </si>
  <si>
    <t xml:space="preserve">Andréia Alvarez Silva </t>
  </si>
  <si>
    <t>andreia.alvarez@gmail.com</t>
  </si>
  <si>
    <t xml:space="preserve">029.945.716-84 </t>
  </si>
  <si>
    <t>Miguel Takahashi de Araújo</t>
  </si>
  <si>
    <t>(31) 996594997</t>
  </si>
  <si>
    <t xml:space="preserve">Pamela Augusta Takahashi de Souza de Araújo </t>
  </si>
  <si>
    <t>Filipe Eduardo Guimarães de Souza</t>
  </si>
  <si>
    <t>(72) 4929-3125</t>
  </si>
  <si>
    <t>Thiago Barcelos Guimarães Brito</t>
  </si>
  <si>
    <t>(31) 99915-2404</t>
  </si>
  <si>
    <t>Lidiane Michele de Barcelos</t>
  </si>
  <si>
    <t>Luiz/ Rafa</t>
  </si>
  <si>
    <t>lidianebarcelos2005@hotmail.com</t>
  </si>
  <si>
    <t xml:space="preserve">057.237.776-29 </t>
  </si>
  <si>
    <t>Valentina Helena da Silva Cruz</t>
  </si>
  <si>
    <t>Anamnese VHSC.docx</t>
  </si>
  <si>
    <t>(31) 98757-6246</t>
  </si>
  <si>
    <t xml:space="preserve">Heloísa Cristina da Cruz </t>
  </si>
  <si>
    <t>heloisa.cruz@edu.pbh.gov.br</t>
  </si>
  <si>
    <t xml:space="preserve">Max Pedro Candido de Araujo </t>
  </si>
  <si>
    <t>(31) 99681-4340</t>
  </si>
  <si>
    <t>Nívia (31 99304-0451)</t>
  </si>
  <si>
    <t>Rodrigo Mariani de Freitas</t>
  </si>
  <si>
    <t>(31) 99976-9660</t>
  </si>
  <si>
    <t xml:space="preserve">Victor Miguel Dias Fernandes </t>
  </si>
  <si>
    <t>Anamnese VMDF.pdf</t>
  </si>
  <si>
    <t>(31) 99142-2286</t>
  </si>
  <si>
    <t xml:space="preserve">Hayane Fetnander Souza </t>
  </si>
  <si>
    <t>hayanefernandes2014@gmail.com</t>
  </si>
  <si>
    <t>uma parte da anmnese está com Rafa A</t>
  </si>
  <si>
    <t>Vinícius de Paula Helmer</t>
  </si>
  <si>
    <t>Anamnese VPH.docx</t>
  </si>
  <si>
    <t>Laudo VPH.docx</t>
  </si>
  <si>
    <t>(31) 97159-4463</t>
  </si>
  <si>
    <t xml:space="preserve">Régila Leite de Paula </t>
  </si>
  <si>
    <t>regila.paula@educacao.mg.gov.br</t>
  </si>
  <si>
    <t>105.203.496-95</t>
  </si>
  <si>
    <t>Esperando os questionários da mãe</t>
  </si>
  <si>
    <t>Vinícius Gabriel Figueiredo de Oliveira</t>
  </si>
  <si>
    <t>Anamnese VGFO.docx</t>
  </si>
  <si>
    <t>Laudo VGFO.docx</t>
  </si>
  <si>
    <t>(31) 98867-7867</t>
  </si>
  <si>
    <t xml:space="preserve">Eder de Oliveira </t>
  </si>
  <si>
    <t>Viniciusgabriel1070@gmail.com</t>
  </si>
  <si>
    <t>004.020.736-65</t>
  </si>
  <si>
    <t>Vitor Hugo Gonçalves de Souza</t>
  </si>
  <si>
    <t>Vitor Hugo Gonçalves Souza</t>
  </si>
  <si>
    <t>Anamnese VHGS.docx</t>
  </si>
  <si>
    <t>Laudo VHGS.docx</t>
  </si>
  <si>
    <t>(31) 9632-4876</t>
  </si>
  <si>
    <t xml:space="preserve">Wanessa aparecida Gonçalves de Souza </t>
  </si>
  <si>
    <t>Elvimar</t>
  </si>
  <si>
    <t>wanessagh@gmail.com</t>
  </si>
  <si>
    <t>Sofia Martins Vieira</t>
  </si>
  <si>
    <t xml:space="preserve">Sofia Martins Vieira </t>
  </si>
  <si>
    <t>Anamnese SMV.docx</t>
  </si>
  <si>
    <t>Laudo SMV.docx</t>
  </si>
  <si>
    <t>(31) 99424-0060</t>
  </si>
  <si>
    <t>Vanessa dos Santos Martins</t>
  </si>
  <si>
    <t>vanessa.santos.martins@educacao.mg.gov.br</t>
  </si>
  <si>
    <t>180.511.646-01</t>
  </si>
  <si>
    <t>Wermington Antônio da Silva</t>
  </si>
  <si>
    <t>Anamnese WAS.docx</t>
  </si>
  <si>
    <t>Laudo WAS.docx</t>
  </si>
  <si>
    <t>(31) 99295-9008</t>
  </si>
  <si>
    <t xml:space="preserve">Wermington Antônio da Silva </t>
  </si>
  <si>
    <t>wermingtom@hotmail.com</t>
  </si>
  <si>
    <t>04495915657</t>
  </si>
  <si>
    <t>Yasmin Oliveira Peixoto de Carvalho</t>
  </si>
  <si>
    <t>COUNTA de Status</t>
  </si>
  <si>
    <t>COUNTA de Amanda/Yuri</t>
  </si>
  <si>
    <t>Total geral</t>
  </si>
  <si>
    <t>COUNTA de Estagiário Responsável</t>
  </si>
  <si>
    <t>COUNTA de Nome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</si>
</sst>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8">
    <font>
      <sz val="10.0"/>
      <color rgb="FF000000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rgb="FF0000FF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rgb="FF0000FF"/>
    </font>
    <font>
      <u/>
      <sz val="9.0"/>
      <color theme="1"/>
      <name val="Arial"/>
      <scheme val="minor"/>
    </font>
    <font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color theme="1"/>
      <name val="Arial"/>
      <scheme val="minor"/>
    </font>
    <font>
      <u/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 shrinkToFit="0" wrapText="0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shrinkToFit="0" wrapText="0"/>
    </xf>
    <xf borderId="0" fillId="2" fontId="1" numFmtId="49" xfId="0" applyAlignment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14" xfId="0" applyAlignment="1" applyFont="1" applyNumberFormat="1">
      <alignment horizontal="center" readingOrder="0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3" fontId="2" numFmtId="164" xfId="0" applyAlignment="1" applyFont="1" applyNumberFormat="1">
      <alignment horizontal="center" readingOrder="0" vertical="top"/>
    </xf>
    <xf borderId="0" fillId="3" fontId="2" numFmtId="164" xfId="0" applyAlignment="1" applyFont="1" applyNumberFormat="1">
      <alignment horizontal="center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4" fontId="2" numFmtId="0" xfId="0" applyAlignment="1" applyFont="1">
      <alignment horizontal="left" readingOrder="0"/>
    </xf>
    <xf borderId="0" fillId="4" fontId="2" numFmtId="0" xfId="0" applyAlignment="1" applyFont="1">
      <alignment horizontal="center"/>
    </xf>
    <xf borderId="0" fillId="3" fontId="2" numFmtId="0" xfId="0" applyFont="1"/>
    <xf borderId="0" fillId="3" fontId="2" numFmtId="14" xfId="0" applyAlignment="1" applyFont="1" applyNumberFormat="1">
      <alignment horizontal="center"/>
    </xf>
    <xf borderId="0" fillId="3" fontId="2" numFmtId="0" xfId="0" applyAlignment="1" applyFont="1">
      <alignment horizontal="left"/>
    </xf>
    <xf quotePrefix="1" borderId="0" fillId="3" fontId="2" numFmtId="0" xfId="0" applyAlignment="1" applyFont="1">
      <alignment horizontal="center"/>
    </xf>
    <xf borderId="0" fillId="4" fontId="7" numFmtId="0" xfId="0" applyAlignment="1" applyFont="1">
      <alignment readingOrder="0"/>
    </xf>
    <xf borderId="0" fillId="4" fontId="2" numFmtId="14" xfId="0" applyAlignment="1" applyFont="1" applyNumberFormat="1">
      <alignment horizontal="center"/>
    </xf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readingOrder="0"/>
    </xf>
    <xf borderId="0" fillId="4" fontId="2" numFmtId="164" xfId="0" applyAlignment="1" applyFont="1" applyNumberFormat="1">
      <alignment horizontal="center"/>
    </xf>
    <xf borderId="0" fillId="4" fontId="2" numFmtId="164" xfId="0" applyAlignment="1" applyFont="1" applyNumberFormat="1">
      <alignment horizontal="center" readingOrder="0"/>
    </xf>
    <xf quotePrefix="1" borderId="0" fillId="4" fontId="2" numFmtId="0" xfId="0" applyAlignment="1" applyFont="1">
      <alignment horizontal="center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horizontal="center" shrinkToFit="0" wrapText="0"/>
    </xf>
    <xf borderId="0" fillId="3" fontId="2" numFmtId="49" xfId="0" applyAlignment="1" applyFont="1" applyNumberFormat="1">
      <alignment horizontal="center" readingOrder="0"/>
    </xf>
    <xf borderId="0" fillId="4" fontId="2" numFmtId="14" xfId="0" applyAlignment="1" applyFont="1" applyNumberForma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readingOrder="0"/>
    </xf>
    <xf borderId="0" fillId="4" fontId="2" numFmtId="0" xfId="0" applyAlignment="1" applyFont="1">
      <alignment horizontal="left"/>
    </xf>
    <xf borderId="0" fillId="4" fontId="2" numFmtId="0" xfId="0" applyFont="1"/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left" readingOrder="0"/>
    </xf>
    <xf borderId="0" fillId="4" fontId="2" numFmtId="0" xfId="0" applyAlignment="1" applyFont="1">
      <alignment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4" fontId="2" numFmtId="49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/>
    </xf>
    <xf borderId="0" fillId="3" fontId="2" numFmtId="166" xfId="0" applyAlignment="1" applyFont="1" applyNumberFormat="1">
      <alignment horizontal="center" readingOrder="0"/>
    </xf>
    <xf borderId="0" fillId="3" fontId="2" numFmtId="164" xfId="0" applyFont="1" applyNumberFormat="1"/>
    <xf borderId="0" fillId="5" fontId="2" numFmtId="0" xfId="0" applyAlignment="1" applyFill="1" applyFont="1">
      <alignment horizontal="center"/>
    </xf>
    <xf borderId="0" fillId="4" fontId="2" numFmtId="0" xfId="0" applyAlignment="1" applyFont="1">
      <alignment shrinkToFit="0" wrapText="0"/>
    </xf>
    <xf quotePrefix="1" borderId="0" fillId="4" fontId="2" numFmtId="49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5" fontId="12" numFmtId="0" xfId="0" applyAlignment="1" applyFont="1">
      <alignment readingOrder="0"/>
    </xf>
    <xf borderId="0" fillId="5" fontId="2" numFmtId="14" xfId="0" applyAlignment="1" applyFont="1" applyNumberFormat="1">
      <alignment horizontal="center"/>
    </xf>
    <xf borderId="0" fillId="5" fontId="13" numFmtId="0" xfId="0" applyAlignment="1" applyFont="1">
      <alignment horizontal="left" readingOrder="0"/>
    </xf>
    <xf borderId="0" fillId="6" fontId="14" numFmtId="0" xfId="0" applyAlignment="1" applyFill="1" applyFont="1">
      <alignment readingOrder="0"/>
    </xf>
    <xf borderId="0" fillId="5" fontId="2" numFmtId="0" xfId="0" applyAlignment="1" applyFont="1">
      <alignment shrinkToFit="0" wrapText="0"/>
    </xf>
    <xf borderId="0" fillId="5" fontId="2" numFmtId="164" xfId="0" applyAlignment="1" applyFont="1" applyNumberFormat="1">
      <alignment horizontal="center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shrinkToFit="0" wrapText="0"/>
    </xf>
    <xf quotePrefix="1" borderId="0" fillId="5" fontId="2" numFmtId="49" xfId="0" applyAlignment="1" applyFont="1" applyNumberFormat="1">
      <alignment horizontal="center" readingOrder="0"/>
    </xf>
    <xf borderId="0" fillId="4" fontId="2" numFmtId="164" xfId="0" applyFont="1" applyNumberFormat="1"/>
    <xf borderId="0" fillId="5" fontId="15" numFmtId="0" xfId="0" applyAlignment="1" applyFont="1">
      <alignment readingOrder="0"/>
    </xf>
    <xf borderId="0" fillId="5" fontId="2" numFmtId="0" xfId="0" applyFont="1"/>
    <xf quotePrefix="1" borderId="0" fillId="5" fontId="2" numFmtId="0" xfId="0" applyAlignment="1" applyFont="1">
      <alignment horizontal="center"/>
    </xf>
    <xf borderId="0" fillId="3" fontId="2" numFmtId="0" xfId="0" applyAlignment="1" applyFont="1">
      <alignment horizontal="center" readingOrder="0" shrinkToFit="0" wrapText="0"/>
    </xf>
    <xf borderId="0" fillId="3" fontId="2" numFmtId="165" xfId="0" applyAlignment="1" applyFont="1" applyNumberFormat="1">
      <alignment horizontal="center" readingOrder="0"/>
    </xf>
    <xf borderId="0" fillId="5" fontId="2" numFmtId="165" xfId="0" applyAlignment="1" applyFont="1" applyNumberFormat="1">
      <alignment horizontal="center" readingOrder="0"/>
    </xf>
    <xf borderId="0" fillId="5" fontId="2" numFmtId="0" xfId="0" applyAlignment="1" applyFont="1">
      <alignment horizontal="left"/>
    </xf>
    <xf borderId="0" fillId="4" fontId="2" numFmtId="164" xfId="0" applyAlignment="1" applyFont="1" applyNumberFormat="1">
      <alignment horizontal="center" readingOrder="0" vertical="top"/>
    </xf>
    <xf borderId="0" fillId="4" fontId="2" numFmtId="49" xfId="0" applyAlignment="1" applyFont="1" applyNumberFormat="1">
      <alignment horizontal="center"/>
    </xf>
    <xf borderId="0" fillId="5" fontId="16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5" fontId="2" numFmtId="49" xfId="0" applyAlignment="1" applyFont="1" applyNumberFormat="1">
      <alignment horizontal="center" readingOrder="0"/>
    </xf>
    <xf borderId="0" fillId="5" fontId="17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164" xfId="0" applyFont="1" applyNumberFormat="1"/>
    <xf borderId="0" fillId="0" fontId="2" numFmtId="0" xfId="0" applyFont="1"/>
    <xf borderId="0" fillId="0" fontId="2" numFmtId="1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44" sheet="Pacientes"/>
  </cacheSource>
  <cacheFields>
    <cacheField name="Nome" numFmtId="0">
      <sharedItems>
        <s v="Alan César Guerra "/>
        <s v="Helena Pereira Martins"/>
        <s v="Maria Thereza de Jesus Machado"/>
        <s v="Alyce Vitória Miguel de Souza"/>
        <s v="Ana Beatrice Peixoto Mário"/>
        <s v="Ana Carolina Alves de Oliveira "/>
        <s v="Ana Carolina Lourdes da Silva"/>
        <s v="Ana Cláudia Dias Rodrigues da Silva "/>
        <s v="Matias Guimarães Alves"/>
        <s v="Antônio Augusto Catão Alves Júnior"/>
        <s v="Antônio Renato Ferreira dos Santos"/>
        <s v="Arthur Miguel Lina de Freitas"/>
        <s v="Benício Alexandre Coelho Jorge "/>
        <s v="Sarah Cristina Veras Rodrigues "/>
        <s v="João Pedro Quadros Cardoso"/>
        <s v="Bento Martins Fernandes"/>
        <s v="Bernardo Muniz de Melo Cezano "/>
        <s v="Vanessa Mendes Mattoso Chagas Ferraz "/>
        <s v="Bianca da Silva Macedo Costa"/>
        <s v="Bianca Pereira Viana de Carvalho"/>
        <s v="Henrique Gomes de Lima Peito"/>
        <s v="Breno Deusdedit Amaro de Almeida "/>
        <s v="Bruna Gontijo Pellegrino"/>
        <s v="Bryan Fernandes Andrade"/>
        <s v="Carlos Alberto Brasil Corrêa Júnior"/>
        <s v="Cauã Henrique Ferreira dos Santos"/>
        <s v="Charles Albert Corrêa Gonçalves"/>
        <s v="Clóvis Prazeres dos Santos"/>
        <s v="Daniel Barbosa Silva"/>
        <s v="Daniel Guilherme Lopes Araújo"/>
        <s v="Daniel Henrique Pereira Gabriel"/>
        <s v="Daniela Henriques Lorenzato da Fonseca"/>
        <s v="Daniella Aparecida da Costa Corrêa"/>
        <s v="Davi Henrique Lopes de Sousa "/>
        <s v="Davi Henrique Ramos Lírio Borges de Jesus "/>
        <s v="Davi Lucca Plautigio Fiuza"/>
        <s v="Davi Meireles Chaves"/>
        <s v="Elen de Oliveira Peixoto"/>
        <s v="Eliene Cristina Vieira de Morais"/>
        <s v="Vitor Rafael Rodrigues Alves"/>
        <s v="Eloá Quadros Cardoso"/>
        <s v="Emanuel Sanches Rocha"/>
        <s v="Lorenzo Medeiro de Santana "/>
        <s v="Elis Frade Madeira "/>
        <s v="Horacio Neptaly Rojas Conde "/>
        <s v="Esther Luiza Lina de Freitas"/>
        <s v="Felipe Arduino Antunes"/>
        <s v="Fernanda Cristiane Fernandes Heringer Milagres"/>
        <s v="Fernanda Meireles Chaves"/>
        <s v="Otoniel Josue Rojas Conde "/>
        <s v="Flávia da Costa Pereira Mattoso"/>
        <s v="Vera Lúcia Gonçalves Almeida"/>
        <s v="Gabriel Alves Novaes"/>
        <s v="Gabriel Arcanjo de Paula Peixoto"/>
        <s v="Gabriel Henrique Rodrigues Triunfo"/>
        <s v="Gabriel Peterson Peres Mudado"/>
        <s v="Bernardo Nunes de Oliveira "/>
        <s v="Giovanna Gomes Carvalho"/>
        <s v="Guilherme Leão Moreira"/>
        <s v="Guilherme Morais Barreto"/>
        <s v="Guilherme Tavares Cordeiro Machado"/>
        <s v="Gustavo dos Santos Oliveira Lopes Lima"/>
        <s v="Heitor Gomes Oliveira e Souza "/>
        <s v="Hugo Gabriel Oliveira Leão"/>
        <s v="Letícia Bethônico Silva Ferreira "/>
        <s v="Henrique Drumond Alves "/>
        <s v="Hithallon Roony da Silva Ribeiro"/>
        <s v="Augusto Rodrigues da Cruz"/>
        <s v="Manuela Fernandes Pimentel"/>
        <s v="Hyan Gael Ivo da Silva "/>
        <s v="Igor Amaral Lopes"/>
        <s v="Inglécia dos Santos Santos"/>
        <s v="Pablo Junior de Souza Felício"/>
        <s v="Isadora Stella Bahia Ribeiro"/>
        <s v="Israel Rodrigues De Figueiredo Mendes"/>
        <s v="Ravi Soares Barbosa"/>
        <s v="Jeanne Mary Vieira Chequer"/>
        <s v="Jéssica Santos da Costa"/>
        <s v="João Bernardo Ferreira Cavalcante"/>
        <s v="João Lucas Ashbel Machado"/>
        <s v="João Miguel Ferreira dos Santos"/>
        <s v="João Miguel Vieira de Souza Reis"/>
        <s v="João Paulo Lopes Bueno"/>
        <s v="Flora Gonçalves de Moraes"/>
        <s v="João Pedro Rodrigues Teixeira de Amorim"/>
        <s v="Miguel Lourenço Gomes"/>
        <s v="Ketlen Vitória Viana faria Oliveira"/>
        <s v="Kevyn Pietro Oliveira Santana "/>
        <s v="Laura Grossi Monteiro de Castro "/>
        <s v="Leônidas Vitor Trindade Rosa"/>
        <s v="Matheus Henrique De Oliveira Santos"/>
        <s v="Letícia Farney Costa Gomes"/>
        <s v="Letícia Pereira Quintaes Godinho"/>
        <s v="Ligiele Carla Resende de Oliveira"/>
        <s v="Lívia Magalhães Costa"/>
        <s v="Lorena Campos Rosa"/>
        <s v="Benjamin Kandur Silva Cangussu"/>
        <s v="Luan Victor Reis da Silva Lopes"/>
        <s v="Lucas Baudson Alves"/>
        <s v="Lucas Gabriel Dornelas Gomes"/>
        <s v="Lucas Ricardo dos Santos Manço "/>
        <s v="Lucelia Barbosa"/>
        <s v="Luis Philipe Barbosa dos Santos"/>
        <s v="Luiz Felipe Martins Motta"/>
        <s v="Luiz Romaniello Neto"/>
        <s v="Luz Marina Rodrigues da Silva"/>
        <s v="Lydia Linon Batista Lemos"/>
        <s v="Maira Danielle Oliveira Santos"/>
        <s v="Erick Araújo Alves"/>
        <s v="Marcela Nunes de Oliveira Souza"/>
        <s v="Marcos Henrique Tenório Almeida"/>
        <s v="Maria Cecília Garcia Paradizi"/>
        <s v="Maria Flor Santos Freitas"/>
        <s v="Maria Helena Orlandi Campos e Ávila"/>
        <s v="Maria Isabel Clemente Liberato"/>
        <s v="Maria Luísa Fracalossi Ferreira"/>
        <s v="Iracy Magalhães Guedes"/>
        <s v="Mariane Marcial Alves"/>
        <s v="Mateus Gandos de Castro"/>
        <s v="Mateus Ramos Lirio Borges de Jesus"/>
        <s v="Rafael Ricoy Silva de Souza"/>
        <s v="Matheus Oliveira Nepomuceno"/>
        <s v="Matheus Righi Santos"/>
        <s v="Angelita Izabel Pereira"/>
        <s v="Breno Costa Canguçu"/>
        <s v="Mayla Matos Ferreira"/>
        <s v="Michellini dos Reis Foureaux"/>
        <s v="Miguel Augusto de Oliveira Torres"/>
        <s v="Miguel Gomes Alves"/>
        <s v="Miguel Linhares de Sousa"/>
        <s v="Rebeca Kelly Menezes Guedes"/>
        <s v="Miguel Simião Xavier Pereira"/>
        <s v="Gabriela Dias de Oliveira Montovani"/>
        <s v="Mirian Rodrigues de Morais"/>
        <s v="Nathalia Machado Domingos Souza Lima"/>
        <s v="Nathan Phelipe Silva Rodrigues"/>
        <s v="Noah Felipe Franco Bueno"/>
        <s v="Alexandre Luciano Tinoco"/>
        <s v="Erick Filipe Lacerda dos Santos"/>
        <s v="Pedro Celestino Pires Kosiniuk"/>
        <s v="Pedro Chaves Pimenta "/>
        <s v="Poliana da Silva Lopes"/>
        <s v="Polliany Sincero Nunes Fialho da Silva"/>
      </sharedItems>
    </cacheField>
    <cacheField name="Pasta" numFmtId="0">
      <sharedItems containsBlank="1">
        <s v="Alan César Guerra"/>
        <m/>
        <s v="Maria Thereza de Jesus Machado"/>
        <s v="Alyce Vitória Miguel de Souza"/>
        <s v="Ana Beatrice Peixoto Mário"/>
        <s v="Ana Carolina Alves de Oliveira"/>
        <s v="Ana Carolina Lourdes da Silva"/>
        <s v="Ana Cláudia Dias Rodrigues da Silva "/>
        <s v="Matias Guimarães Alves"/>
        <s v="Antônio Augusto Catão Alves Júnior"/>
        <s v="Antônio Renato Ferreira dos Santos"/>
        <s v="Arthur Miguel Lina de Freitas"/>
        <s v="Benício Alexandre Coelho Jorge "/>
        <s v="Sarah Cristina Veras Rodrigues "/>
        <s v="João Pedro Quadros Cardoso"/>
        <s v="Bento Martins Fernandes"/>
        <s v="Bernardo Muniz de Melo Cezano"/>
        <s v="Vanessa Mendes Mattoso Chagas Ferraz "/>
        <s v="Bianca da Silva Macedo Costa"/>
        <s v="Bianca Pereira Viana de Carvalho"/>
        <s v="Henrique Gomes Lima de Peito"/>
        <s v="Breno Deusdedit Amaro de Almeida"/>
        <s v="Bruna Gontijo Pellegrino"/>
        <s v="Bryan Fernandes Andrade"/>
        <s v="Carlos Alberto Brasil Corrêa Júnior"/>
        <s v="Cauã Henrique Ferreira dos Santos"/>
        <s v="Charles Albert Corrêa Gonçalves"/>
        <s v="Clóvis Prazeres dos Santos"/>
        <s v="Daniel Barbosa Silva"/>
        <s v="Daniel Guilherme Lopes Araújo"/>
        <s v="Daniel Henrique Pereira Gabriel"/>
        <s v="Daniela Henriques Lorenzato da Fonseca"/>
        <s v="Daniella Aparecida da Costa Corrêa"/>
        <s v="Davi Henrique Lopes de Sousa"/>
        <s v="Davi Henrique Ramos Lírio Borges de Jesus "/>
        <s v="Davi Lucca Plautigio Fiuza"/>
        <s v="Davi Meireles Chaves"/>
        <s v="Elen de Oliveira Peixoto"/>
        <s v="Eliene Cristina Vieira de Morais"/>
        <s v="Victor Rafael Rodrigues"/>
        <s v="Eloá Quadros Cardoso"/>
        <s v="Emanuel Sanches Rocha"/>
        <s v="Lorenzo Medeiro de Santana "/>
        <s v="Elis Frade Madeira"/>
        <s v="Horacio Neptaly Rojas Conde"/>
        <s v="Esther Luiza Lina de Freitas"/>
        <s v="Felipe Arduino Antunes"/>
        <s v="Fernanda Cristiane Fernandes Heringer Milagres"/>
        <s v="Fernanda Meireles Chaves"/>
        <s v="Otoniel Josue Rojas Conde "/>
        <s v="Flávia da Costa Pereira Mattoso"/>
        <s v="Vera Lúcia Gonçalves Almeida"/>
        <s v="Gabriel Alves Novaes"/>
        <s v="Gabriel Arcanjo de Paula Peixoto"/>
        <s v="Gabriel Henrique Rodrigues Triunfo"/>
        <s v="Gabriel Peterson Peres Mudado"/>
        <s v="Giovanna Gomes Carvalho"/>
        <s v="Guilherme Leão Moreira"/>
        <s v="Guilherme Morais Barreto"/>
        <s v="Guilherme Tavares Cordeiro"/>
        <s v="Gustavo dos Santos Oliveira"/>
        <s v="Heitor Gomes Oliveira e Souza"/>
        <s v="Hugo Gabriel Oliveira Leão"/>
        <s v="Hithallon Roony da Silva Ribeiro"/>
        <s v="Augusto Rodrigues da Cruz"/>
        <s v="Manuela Fernandes Pimentel"/>
        <s v="Hyan Gael Ivo da Silva"/>
        <s v="Igor Amaral Lopes"/>
        <s v="Inglecia dos Santos Santos"/>
        <s v="Pablo Junior de Souza Felício"/>
        <s v="Isadora Stella Bahia Ribeiro"/>
        <s v="Israel Rodrigues De Figueiredo Mendes"/>
        <s v="Ravi Soares Barbosa"/>
        <s v="Jeanne Mary Vieira Chequer"/>
        <s v="Jéssica Santos da Costa"/>
        <s v="João Bernardo Ferreira Cavalcante"/>
        <s v="João Lucas Ashbel Machado"/>
        <s v="João Miguel Ferreira dos Santos"/>
        <s v="João Miguel Vieira de Souza Reis"/>
        <s v="João Paulo Lopes Bueno"/>
        <s v="João Pedro Rodrigues Teixeira de Amorim"/>
        <s v="Miguel Lourenço Gomes"/>
        <s v="Ketlen Vitória Viana Faria Oliveira"/>
        <s v="Kevyn Pietro oliveira Sant Ana"/>
        <s v="Laura Grossi Monteiro de Castro"/>
        <s v="Leônidas Vitor Trindade Rosa"/>
        <s v="Matheus Henrique de Oliveira Santos"/>
        <s v="Letícia Farney Costa Gomes"/>
        <s v="Letícia Pereira Quintaes Godinho"/>
        <s v="Ligiele Carla Resende de Oliveira"/>
        <s v="Lívia Magalhães Costa"/>
        <s v="Lorena Campos Rosa"/>
        <s v="Benjamin Kandur Silva Cangussu"/>
        <s v="Luan Victor Reis da Silva Lopes"/>
        <s v="Lucas Baudson Alves"/>
        <s v="Lucas Gabriel Dornelas Gomes"/>
        <s v="Lucas Ricardo dos Santos Manço "/>
        <s v="Lucelia Barbosa"/>
        <s v="Luis Philipe Barbosa dos Santos"/>
        <s v="Luiz Felipe Martins Motta"/>
        <s v="Luiz Romaniello Neto"/>
        <s v="Luz Marina Rodrigues da Silva"/>
        <s v="Lydia Linon Batista Lemos"/>
        <s v="Maíra Danielle Oliveira Santos"/>
        <s v="Marcela Nunes de Oliveira Souza"/>
        <s v="Marcos Henrique Tenório Almeida"/>
        <s v="Maria Cecília Garcia Paradizi"/>
        <s v="Maria Flor Santos Freitas"/>
        <s v="Maria Helena Orlandi Campos e Ávila"/>
        <s v="Maria Isabel Clemente Liberato"/>
        <s v="Maria Luísa Fracalossi Ferreira"/>
        <s v="Iracy Magalhães Guedes"/>
        <s v="Mariane Marcial Alves"/>
        <s v="Mateus Gandos de Castro"/>
        <s v="Mateus Ramos Lírio Borges de Jesus"/>
        <s v="Rafael Ricoy Silva de Souza"/>
        <s v="Matheus Oliveira Nepomuceno"/>
        <s v="Matheus Righi Santos"/>
        <s v="Mayla Matos Ferreira"/>
        <s v="Michellini dos Reis Foureaux"/>
        <s v="Miguel Augusto de Oliveira Torres"/>
        <s v="Miguel Gomes Alves"/>
        <s v="Miguel Linhares de Sousa"/>
        <s v="Miguel Simião Xavier Pereira"/>
        <s v="Gabriela Dias de Oliveira Mantovani"/>
        <s v="Nathalia Machado Domingos Souza Lima"/>
        <s v="Nathan Phelipe Silva Rodrigues "/>
        <s v="Noah Felipe Franco Bueno"/>
        <s v="Alexandre Luciano Tinoco"/>
        <s v="Erick Filipe Lacerda dos Santos"/>
        <s v="Pedro Celestino Pires Kosiniuk"/>
        <s v="Pedro Chaves Pimenta "/>
        <s v="Poliana da Silva Lopes"/>
        <s v="Polliany Sincero Nunes Fialho da Silva"/>
      </sharedItems>
    </cacheField>
    <cacheField name="Amanda/Yuri" numFmtId="0">
      <sharedItems>
        <s v="Amanda"/>
        <s v="Yuri"/>
        <s v="Rachel"/>
        <s v="-"/>
      </sharedItems>
    </cacheField>
    <cacheField name="DN - Paciente" numFmtId="14">
      <sharedItems containsSemiMixedTypes="0" containsDate="1" containsString="0">
        <d v="1971-02-22T00:00:00Z"/>
        <d v="2021-08-14T00:00:00Z"/>
        <d v="1938-02-03T00:00:00Z"/>
        <d v="2015-06-07T00:00:00Z"/>
        <d v="2001-07-09T00:00:00Z"/>
        <d v="1989-06-30T00:00:00Z"/>
        <d v="1996-11-18T00:00:00Z"/>
        <d v="1990-06-05T00:00:00Z"/>
        <d v="2020-12-05T00:00:00Z"/>
        <d v="1972-10-07T00:00:00Z"/>
        <d v="2014-10-16T00:00:00Z"/>
        <d v="2016-06-17T00:00:00Z"/>
        <d v="2019-05-06T00:00:00Z"/>
        <d v="1978-10-09T00:00:00Z"/>
        <d v="2014-12-04T00:00:00Z"/>
        <d v="2015-04-13T00:00:00Z"/>
        <d v="2017-08-20T00:00:00Z"/>
        <d v="1969-08-08T00:00:00Z"/>
        <d v="2003-04-12T00:00:00Z"/>
        <d v="2016-05-01T00:00:00Z"/>
        <d v="2010-09-02T00:00:00Z"/>
        <d v="1997-08-26T00:00:00Z"/>
        <d v="1977-10-26T00:00:00Z"/>
        <d v="2019-03-01T00:00:00Z"/>
        <d v="1976-03-22T00:00:00Z"/>
        <d v="2013-11-27T00:00:00Z"/>
        <d v="1974-02-05T00:00:00Z"/>
        <d v="1970-06-15T00:00:00Z"/>
        <d v="1997-12-15T00:00:00Z"/>
        <d v="2013-08-05T00:00:00Z"/>
        <d v="2007-11-15T00:00:00Z"/>
        <d v="1987-10-30T00:00:00Z"/>
        <d v="1983-03-15T00:00:00Z"/>
        <d v="2008-03-26T00:00:00Z"/>
        <d v="2010-01-18T00:00:00Z"/>
        <d v="2019-01-19T00:00:00Z"/>
        <d v="2017-03-24T00:00:00Z"/>
        <d v="1983-03-04T00:00:00Z"/>
        <d v="1992-06-15T00:00:00Z"/>
        <d v="2016-02-19T00:00:00Z"/>
        <d v="2017-11-17T00:00:00Z"/>
        <d v="2015-02-13T00:00:00Z"/>
        <d v="2022-06-15T00:00:00Z"/>
        <d v="2018-01-07T00:00:00Z"/>
        <d v="2012-09-18T00:00:00Z"/>
        <d v="2004-06-13T00:00:00Z"/>
        <d v="1979-02-11T00:00:00Z"/>
        <d v="2014-06-05T00:00:00Z"/>
        <d v="2016-02-01T00:00:00Z"/>
        <d v="1972-08-01T00:00:00Z"/>
        <d v="1971-05-09T00:00:00Z"/>
        <d v="2008-04-19T00:00:00Z"/>
        <d v="1996-10-01T00:00:00Z"/>
        <d v="2018-02-22T00:00:00Z"/>
        <d v="2013-06-07T00:00:00Z"/>
        <d v="2015-01-17T00:00:00Z"/>
        <d v="2013-09-10T00:00:00Z"/>
        <d v="2014-10-03T00:00:00Z"/>
        <d v="2014-02-12T00:00:00Z"/>
        <d v="1994-12-12T00:00:00Z"/>
        <d v="2013-02-15T00:00:00Z"/>
        <d v="2020-12-28T00:00:00Z"/>
        <d v="2018-11-22T00:00:00Z"/>
        <d v="2003-09-14T00:00:00Z"/>
        <d v="1997-11-20T00:00:00Z"/>
        <d v="2013-01-04T00:00:00Z"/>
        <d v="2017-05-22T00:00:00Z"/>
        <d v="2013-12-12T00:00:00Z"/>
        <d v="2015-02-11T00:00:00Z"/>
        <d v="1995-01-08T00:00:00Z"/>
        <d v="1999-12-31T00:00:00Z"/>
        <d v="2021-10-05T00:00:00Z"/>
        <d v="2019-05-21T00:00:00Z"/>
        <d v="2012-10-20T00:00:00Z"/>
        <d v="1968-08-15T00:00:00Z"/>
        <d v="1972-09-25T00:00:00Z"/>
        <d v="1994-05-05T00:00:00Z"/>
        <d v="2018-08-14T00:00:00Z"/>
        <d v="2016-12-16T00:00:00Z"/>
        <d v="2018-08-12T00:00:00Z"/>
        <d v="2016-02-17T00:00:00Z"/>
        <d v="2010-05-28T00:00:00Z"/>
        <d v="2020-04-11T00:00:00Z"/>
        <d v="2021-01-02T00:00:00Z"/>
        <d v="2016-05-09T00:00:00Z"/>
        <d v="2008-10-15T00:00:00Z"/>
        <d v="2019-07-10T00:00:00Z"/>
        <d v="2013-11-21T00:00:00Z"/>
        <d v="2015-02-09T00:00:00Z"/>
        <d v="2014-04-13T00:00:00Z"/>
        <d v="2017-05-30T00:00:00Z"/>
        <d v="2001-01-03T00:00:00Z"/>
        <d v="1981-02-28T00:00:00Z"/>
        <d v="2019-03-30T00:00:00Z"/>
        <d v="2008-05-02T00:00:00Z"/>
        <d v="2010-04-04T00:00:00Z"/>
        <d v="2017-03-01T00:00:00Z"/>
        <d v="1990-05-28T00:00:00Z"/>
        <d v="2012-07-29T00:00:00Z"/>
        <d v="1996-07-17T00:00:00Z"/>
        <d v="1977-12-31T00:00:00Z"/>
        <d v="2013-10-16T00:00:00Z"/>
        <d v="2018-09-07T00:00:00Z"/>
        <d v="1982-03-06T00:00:00Z"/>
        <d v="1977-03-29T00:00:00Z"/>
        <d v="1995-01-02T00:00:00Z"/>
        <d v="1983-11-01T00:00:00Z"/>
        <d v="2013-07-17T00:00:00Z"/>
        <d v="2015-04-08T00:00:00Z"/>
        <d v="2018-11-07T00:00:00Z"/>
        <d v="2025-04-01T00:00:00Z"/>
        <d v="2018-08-06T00:00:00Z"/>
        <d v="1982-06-06T00:00:00Z"/>
        <d v="1968-03-22T00:00:00Z"/>
        <d v="2014-02-17T00:00:00Z"/>
        <d v="1973-03-08T00:00:00Z"/>
        <d v="2007-03-24T00:00:00Z"/>
        <d v="2014-05-14T00:00:00Z"/>
        <d v="2015-03-14T00:00:00Z"/>
        <d v="2011-08-28T00:00:00Z"/>
        <d v="2013-06-11T00:00:00Z"/>
        <d v="2018-12-12T00:00:00Z"/>
        <d v="1966-04-21T00:00:00Z"/>
        <d v="1997-04-25T00:00:00Z"/>
        <d v="2009-12-20T00:00:00Z"/>
        <d v="1978-08-06T00:00:00Z"/>
        <d v="2013-04-12T00:00:00Z"/>
        <d v="2014-07-17T00:00:00Z"/>
        <d v="2019-03-15T00:00:00Z"/>
        <d v="1997-09-10T00:00:00Z"/>
        <d v="2012-05-02T00:00:00Z"/>
        <d v="1980-06-22T00:00:00Z"/>
        <d v="1963-05-14T00:00:00Z"/>
        <d v="1988-12-29T00:00:00Z"/>
        <d v="1991-10-14T00:00:00Z"/>
        <d v="2021-09-08T00:00:00Z"/>
        <d v="1974-05-28T00:00:00Z"/>
        <d v="2012-07-27T00:00:00Z"/>
        <d v="2015-09-30T00:00:00Z"/>
        <d v="2010-10-01T00:00:00Z"/>
        <d v="1987-08-06T00:00:00Z"/>
        <d v="1986-08-11T00:00:00Z"/>
      </sharedItems>
    </cacheField>
    <cacheField name="Idade" numFmtId="0">
      <sharedItems containsSemiMixedTypes="0" containsString="0" containsNumber="1" containsInteger="1">
        <n v="55.0"/>
        <n v="4.0"/>
        <n v="88.0"/>
        <n v="10.0"/>
        <n v="24.0"/>
        <n v="36.0"/>
        <n v="29.0"/>
        <n v="35.0"/>
        <n v="5.0"/>
        <n v="53.0"/>
        <n v="11.0"/>
        <n v="9.0"/>
        <n v="6.0"/>
        <n v="47.0"/>
        <n v="8.0"/>
        <n v="56.0"/>
        <n v="22.0"/>
        <n v="15.0"/>
        <n v="28.0"/>
        <n v="48.0"/>
        <n v="7.0"/>
        <n v="49.0"/>
        <n v="12.0"/>
        <n v="52.0"/>
        <n v="18.0"/>
        <n v="38.0"/>
        <n v="42.0"/>
        <n v="17.0"/>
        <n v="16.0"/>
        <n v="43.0"/>
        <n v="33.0"/>
        <n v="3.0"/>
        <n v="13.0"/>
        <n v="21.0"/>
        <n v="54.0"/>
        <n v="31.0"/>
        <n v="26.0"/>
        <n v="57.0"/>
        <n v="25.0"/>
        <n v="45.0"/>
        <n v="44.0"/>
        <n v="0.0"/>
        <n v="14.0"/>
        <n v="59.0"/>
        <n v="62.0"/>
        <n v="37.0"/>
        <n v="34.0"/>
        <n v="51.0"/>
        <n v="39.0"/>
      </sharedItems>
    </cacheField>
    <cacheField name="Anamnese" numFmtId="0">
      <sharedItems containsBlank="1">
        <s v="Anamnese ACG.docx"/>
        <m/>
        <s v="Anamnese AVMS.docx"/>
        <s v="Anamnese ABPM.docx"/>
        <s v="Anamnese ACAO"/>
        <s v="Anamnese ACLS.docx"/>
        <s v="Anamnese Adulto - Formulário de Coleta de História ANA CLAUDIA DIAS RODRIGUES DA SILVA.docx.pdf"/>
        <s v="Anamnese MGA.docx"/>
        <s v="Anamnese ARFS.docx"/>
        <s v="Anamnese BACJ.docx"/>
        <s v="Anamnese BMF.docx"/>
        <s v="Anamnese BMMC.docx"/>
        <s v="Anamnese VMMCF.docx"/>
        <s v="Anamnese BSMC.docx"/>
        <s v="Anamnese BPVC.docx"/>
        <s v="Anamnese Henrique Gomes de Lima Peito.docx"/>
        <s v="ANAMNESE – Breno Deusdedit Amaro de Almeida.docx"/>
        <s v="ANAMNESE - Bryan Fernandes Andrade.docx"/>
        <s v="Anamnese CHFS.docx"/>
        <s v="Anamnese CACG.docx"/>
        <s v="Anamnese CPS.pdf"/>
        <s v="Anamnese DBS.docx"/>
        <s v="Anamnese DGLA.docx"/>
        <s v="Anamnese DHLF.docx"/>
        <s v="Anamnese DACC.docx"/>
        <s v="Anamnese Infância e Adolescência - Davi Henrique Lopes de Sousa.pdf"/>
        <s v="Anamnese EOP.docx"/>
        <s v="Anamnese ECVM.docx"/>
        <s v="Anamnese Infância e Adolescência (4).docx"/>
        <s v="Anamnese ESR.docx"/>
        <s v="Anamnese FAA.docx"/>
        <s v="Anamnese FCFHM.docx"/>
        <s v="Anamnese OJRC.pdf"/>
        <s v="Anamnese GAPP.docx"/>
        <s v="Anamnese GPPM.docx"/>
        <s v="Anamnese GGC.docx"/>
        <s v="Anamnese GMB.docx"/>
        <s v="Anamnese GTC.docx"/>
        <s v="Anamnese GSOL.docx"/>
        <s v="Anamnese HGOS.docx"/>
        <s v="Anamnese HRSR.docx"/>
        <s v="Anamnese ARC.docx"/>
        <s v="Anamnese HGIS.docx"/>
        <s v="Anamnese IAL.docx"/>
        <s v="Anamnese ISS.docx"/>
        <s v="Anamnese PJSF.docx"/>
        <s v="Anamnese ISBR.docx"/>
        <s v="Anamnese RSB.docx"/>
        <s v="Anamnese JMVC.docx"/>
        <s v="Anamnese JSC.docx"/>
        <s v="Anamnese JMFS.docx"/>
        <s v="Anamnese JMVSR.docx"/>
        <s v="Anamnese JPLB.docx"/>
        <s v="Anamnese JPRTA.docx"/>
        <s v="Anamnese KVVFO.docx"/>
        <s v="Anamnese LGMC"/>
        <s v="Anamnese LVTR.docx"/>
        <s v="Anamnese MHOS"/>
        <s v="Anamnese LPQG.docx"/>
        <s v="Anamnese LCRO.docx"/>
        <s v="Anamnese LCR.docx"/>
        <s v="Anamnese BKSC"/>
        <s v="Anamnese LRSM.docx"/>
        <s v="Anamnese LFMM.docx"/>
        <s v="Anamnese LLBL"/>
        <s v="ANAMNESE – Maíra Danielle Oliveira Santos.docx"/>
        <s v="Anamnese MHTA.docx"/>
        <s v="Anamnese MCGP.docx"/>
        <s v="Anamnese MFSF.pdf"/>
        <s v="Anamnese MHOCA"/>
        <s v="Anamnese MICL.docx"/>
        <s v="Anamnese MLFF.docx"/>
        <s v="Anamnese IMG"/>
        <s v="Anamnese MMA.docx"/>
        <s v="Anamnese MRLBJ.docx"/>
        <s v="Anamnese MON.docx"/>
        <s v="Anamnese MMF.docx"/>
        <s v="Anamnese MRF.docx"/>
        <s v="Anamnese MSXP.docx"/>
        <s v="Anamnese GDOM"/>
        <s v="Anamnese NPSR.docx"/>
        <s v="Anamnese ALT"/>
        <s v="Anamnese EFLS"/>
        <s v="Anamnese PCPK.docx"/>
        <s v="Anamnese PCP.docx"/>
      </sharedItems>
    </cacheField>
    <cacheField name="Laudo" numFmtId="0">
      <sharedItems containsBlank="1">
        <s v="Laudo ACG.docx"/>
        <m/>
        <s v="Laudo ABPM.docx"/>
        <s v="Laudo ACAO.docx"/>
        <s v="Laudo AACJ.docx"/>
        <s v="Laudo ARFS.docx"/>
        <s v="Laudo AMLF.docx"/>
        <s v="Laudo BACJ.docx"/>
        <s v="Laudo BMF.docx"/>
        <s v="Laudo BMMC.docx"/>
        <s v="Laudo VMMCF.docx"/>
        <s v="Laudo BPVC.docx"/>
        <s v="Laudo BGP.docx"/>
        <s v="Laudo CHFS.docx"/>
        <s v="Laudo CACG.docx"/>
        <s v="Laudo CPS.docx"/>
        <s v="Laudo DHLF.docx"/>
        <s v="Laudo DACC.docx"/>
        <s v="Infância - Modelo de Laudo Neuropsicológico FDB (1).docx"/>
        <s v="Laudo DHRLBJ"/>
        <s v="Laudo EOP.docx"/>
        <s v="Laudo ECVM.docx"/>
        <s v="Laudo ESR.docx"/>
        <s v="Laudo ELLF.docx"/>
        <s v="Laudo FAA.docx"/>
        <s v="Laudo FCFHM.docx"/>
        <s v="Laudo OJRC.docx"/>
        <s v="Laudo GAPP.docx"/>
        <s v="Laudo GPPM.docx"/>
        <s v="Laudo GGC.docx"/>
        <s v="Laudo GMB.docx"/>
        <s v="Laudo GTC.docx"/>
        <s v="Laudo GSOLL.docx"/>
        <s v="Laudo HGOS.docx"/>
        <s v="Laudo HGOL.docx"/>
        <s v="Laudo ARC.docx"/>
        <s v="Laudo HGIS"/>
        <s v="Laudo IAL.docx"/>
        <s v="Laudo ISS.docx"/>
        <s v="Laudo PJSF.docx"/>
        <s v="Laudo ISBR.docx"/>
        <s v="Laudo RSB.docx"/>
        <s v="Laudo JMFS.docx"/>
        <s v="Laudo JMVSR"/>
        <s v="Laudo JPLB.docx"/>
        <s v="Laudo JPRTA.docx"/>
        <s v="Laudo MHOS.docx"/>
        <s v="Laudo LCRO.docx"/>
        <s v="Laudo LCR.docx"/>
        <s v="Laudo BKSC.docx"/>
        <s v="Laudo LVRSL.docx"/>
        <s v="Laudo LRSM.docx"/>
        <s v="Laudo LFMM.docx"/>
        <s v="Laudo LLBL.docx"/>
        <s v="Laudo MCGP.docx"/>
        <s v="Laudo MFSF"/>
        <s v="Laudo MICL.docx"/>
        <s v="Laudo MLFF.docx"/>
        <s v="Laudo IMG.docx"/>
        <s v="Laudo MMA.docx"/>
        <s v="Laudo MRLBJ.docx"/>
        <s v="Laudo RRSS.docx"/>
        <s v="Laudo MON.docx"/>
        <s v="Laudo MMF.docx"/>
        <s v="Laudo MRF.docx"/>
        <s v="Laudo MGA.docx"/>
        <s v="Laudo MSXP.docx"/>
        <s v="Laudo GDOM.docx"/>
        <s v="Laudo ALT.docx"/>
        <s v="Laudo EFLS.docx"/>
        <s v="Laudo PCP.docx"/>
      </sharedItems>
    </cacheField>
    <cacheField name="Status" numFmtId="0">
      <sharedItems>
        <s v="Finalizado"/>
        <s v="Em avaliação "/>
        <s v="Laudo "/>
        <s v="Desistência"/>
      </sharedItems>
    </cacheField>
    <cacheField name="Ativo ou inativo" numFmtId="0">
      <sharedItems>
        <s v="Inativo"/>
        <s v="Ativo"/>
      </sharedItems>
    </cacheField>
    <cacheField name="Telefone - Contato" numFmtId="0">
      <sharedItems>
        <s v="(31) 99264-3794 "/>
        <s v="(31) 994036954"/>
        <s v="(31) 99257-6101"/>
        <s v="(31) 98956-5944"/>
        <s v="(31) 99299-1523"/>
        <s v="(31) 92005-2655"/>
        <s v="(31) 98257-1360"/>
        <s v="(31) 99162-9992"/>
        <s v="(31) 98604-7020 "/>
        <s v="(31) 99955-1092"/>
        <s v="(31) 98112-5134"/>
        <s v="(31) 9715-4245"/>
        <s v="(31) 99876-9160"/>
        <s v="(31) 98881-1139"/>
        <s v="(31) 98713-4729"/>
        <s v="(31) 97360-4388"/>
        <s v="(31) 98255-6245"/>
        <s v="(31) 99814-9779"/>
        <s v="(31) 98864-0112"/>
        <s v="(31) 98681-8859"/>
        <s v="(31) 97326-7910"/>
        <s v="(31) 99181-5736"/>
        <s v="(31) 99182-4986"/>
        <s v="(31) 98524-9466 / (31) 98641-6440 (Lucas)"/>
        <s v="(31) 99644-1133 "/>
        <s v="(31) 99316-9515"/>
        <s v="(31) 98884-4797"/>
        <s v="(31) 98762-5333"/>
        <s v="(31) 98534-7145 "/>
        <s v="(31) 98642-0851"/>
        <s v="(31) 98831-1017"/>
        <s v="(31) 98248-2527"/>
        <s v="(31) 99690-3939"/>
        <s v="(31) 98616-1340"/>
        <s v="(31) 99229-8547"/>
        <s v="(31) 98598-9256"/>
        <s v="(31) 98567-2256"/>
        <s v="(31) 98863-6667"/>
        <s v="(31) 97528-4459"/>
        <s v="(31 98105-3244"/>
        <s v="(31) 97335-5765"/>
        <s v="(31) 97109-1838"/>
        <s v="(31) 98867-9505"/>
        <s v="(31) 98231-6252 "/>
        <s v="(31) 99165-6864"/>
        <s v="(31) 99728-6738"/>
        <s v="(31) 99197-7791"/>
        <s v="(31) 99205-5419"/>
        <s v="(31) 98822-9381"/>
        <s v="(31) 99802-2799"/>
        <s v="(31) 98779-4901"/>
        <s v="(31) 99374-7466"/>
        <s v="(31) 97315-8979"/>
        <s v="(31) 99623-6721"/>
        <s v="(31) 99403-9959"/>
        <s v="(31) 99502-4269"/>
        <s v="(31) 98849-2473"/>
        <s v="(31) 97579-8842"/>
        <s v="(31) 99220-7211"/>
        <s v="(31) 99435-4540"/>
        <s v="(31) 98335-5201"/>
        <s v="(31) 99345-3926"/>
        <s v="(31) 99458-3624"/>
        <s v="(31) 99474-8070"/>
        <s v=" (31) 98859-0309"/>
        <s v="(31) 98422-1518"/>
        <s v="(31) 99347-6233"/>
        <s v="(31) 99285-9568"/>
        <s v="(31) 98913-9001"/>
        <s v="(31) 98758-8614"/>
        <s v="(31) 98636-0934"/>
        <s v="(31) 99915-2515"/>
        <s v="(31) 99872-5185"/>
        <s v="(31) 99815-0639"/>
        <s v="(31) 99132-8216"/>
        <s v="(31) 99990-8703"/>
        <s v="(31) 98786-2505"/>
        <s v="(31) 98630-7075"/>
        <s v="(31) 99855-6477"/>
        <s v="(31) 99229-6130 "/>
        <s v="(31) 98697-8872"/>
        <s v="(31) 98727-7130"/>
        <s v="(31) 98311-8353"/>
        <s v="(31) 9469-3250"/>
        <s v="(31) 99151-2208"/>
        <s v="(31) 97120-3085"/>
        <s v="(31) 99445-1659"/>
        <s v="(31) 99678-6885"/>
        <s v="(31) 98299-3558"/>
        <s v="(31) 98338-3150"/>
        <s v="(31) 97544-0698"/>
        <s v="(31) 97166-4573"/>
        <s v="(31) 99502-1093"/>
        <s v="(31) 99255-1712 "/>
        <s v="(31) 99813-8137"/>
        <s v="(31) 97121-6869"/>
        <s v="(31) 98795-7786"/>
        <s v="(31) 99502-3449"/>
        <s v="(31) 97315-5646"/>
        <s v="(31) 99629-1515"/>
        <s v="(31) 99687-0504"/>
        <s v="(31) 98786-0846"/>
        <s v="(31) 99982-2789"/>
        <s v="(31) 98463-6004"/>
        <s v="(31) 98890-0924"/>
        <s v="(31) 99324-9610"/>
        <s v="(31) 98487-5694"/>
        <s v="(31) 99418-4004"/>
        <s v="(38) 98823-2062"/>
        <s v="(31) 98119-6804"/>
        <s v="(31) 99932-5501"/>
        <s v="(31) 98848-4875"/>
        <s v="(31)996646537"/>
        <s v="(31) 99543-9803"/>
        <s v="(31) 98206-8830"/>
        <s v="(31) 98414-3633"/>
        <s v="(31) 98470-4392"/>
        <s v="(31) 987449379"/>
        <s v="(71) 98732-1418"/>
        <s v="(31) 99997-7237"/>
        <s v="(31) 97246-3799"/>
        <s v="(31) 99734-3422"/>
        <s v="(31) 98556-5531"/>
        <s v="(31) 99669-3845 "/>
        <s v="(31) 99329-9125"/>
        <s v="(31) 99689-1028"/>
        <s v="(31) 98809-4088"/>
        <s v="(31) 99906-7957"/>
        <s v="(33) 99126-4156"/>
        <s v="(31) 99284-5924"/>
        <s v="(31) 98347-8590"/>
        <s v="(31) 99238-0900"/>
        <s v="(31) 99256-0705"/>
        <s v="(31) 97514-7054"/>
        <s v="(31) 98794-9789"/>
        <s v="(31) 99169-0671"/>
        <s v="(31) 99338-8715"/>
      </sharedItems>
    </cacheField>
    <cacheField name="Whatsapp" numFmtId="0">
      <sharedItems containsBlank="1">
        <s v="Alan.Wpp"/>
        <m/>
        <s v="Maria.Wpp"/>
        <s v="Hélio.Wpp"/>
        <s v="Ana.Wpp"/>
        <s v="Lucimar.Wpp"/>
        <s v="Jéssica.Wpp"/>
        <s v="Antônio.Wpp"/>
        <s v="Alessandra.Wpp"/>
        <s v="Alexandre.Wpp"/>
        <s v="Sarah.Wpp"/>
        <s v="Tatielle.Wpp"/>
        <s v="Carlos.Wpp"/>
        <s v="Lorena.Wpp"/>
        <s v="Vanessa.Wpp"/>
        <s v="Bianca.Wpp"/>
        <s v="Beatriz.Wpp"/>
        <s v="Mônica.Wpp"/>
        <s v="Bruna.Wpp"/>
        <s v="Thalita.Wpp"/>
        <s v="Daiana.Wpp"/>
        <s v="Charles.Wpp"/>
        <s v="Clóvis.Wpp"/>
        <s v="Marta.Wpp"/>
        <s v="Talita.Wpp"/>
        <s v="Natália.Wpp"/>
        <s v="Daniela.Wpp"/>
        <s v="Luiz.Wpp"/>
        <s v="Ingrid.Wpp"/>
        <s v="Cristiane.Wpp"/>
        <s v="Luana.Wpp"/>
        <s v="Simone.Wpp"/>
        <s v="Elen.Wpp"/>
        <s v="Douglas.Wpp"/>
        <s v="Roney.Wpp"/>
        <s v="Luciene.Wpp"/>
        <s v="Nicolas.Wpp"/>
        <s v="Marcos.Wpp"/>
        <s v="Yaksibith.Wpp"/>
        <s v="Leila.Wpp"/>
        <s v="Fernanda.Wpp"/>
        <s v="Flávia.Wpp"/>
        <s v="Vera.Wpp"/>
        <s v="Jane.Wpp"/>
        <s v="Gabriel.Wpp"/>
        <s v="Fabiano.Wpp"/>
        <s v="Daniel.Wpp"/>
        <s v="Bernardo.Wpp"/>
        <s v="Gionayra.Wpp"/>
        <s v="Leonardo.Wpp"/>
        <s v="Wanda.Wpp"/>
        <s v="Guilherme.Wpp"/>
        <s v="Fabíola.Wpp"/>
        <s v="Adriana.Wpp"/>
        <s v="Hugo.Wpp"/>
        <s v="Letícia.Wpp"/>
        <s v="Henrique.Wpp"/>
        <s v="Adriano.Wpp"/>
        <s v="Helen.Wpp"/>
        <s v="Igor.Wpp"/>
        <s v="Inglecia.Wpp"/>
        <s v="Grazielle.Wpp"/>
        <s v="Erli.Wpp"/>
        <s v="Mara.Wpp"/>
        <s v="Ravi.Wpp"/>
        <s v="Jeanne.Wpp"/>
        <s v="Gabriela.Wpp"/>
        <s v="Márcia.Wpp"/>
        <s v="Ianamara.Wpp"/>
        <s v="Poliana.Wpp"/>
        <s v="Paulo.Wpp"/>
        <s v="Raquel.Wpp"/>
        <s v="Naiara.Wpp"/>
        <s v="Bárbara.Wpp"/>
        <s v="Cátia.Wpp"/>
        <s v="Raimunda.Wpp"/>
        <s v="Ligiele.Wpp"/>
        <s v="Naidy.Wpp"/>
        <s v="Tatiane.Wpp"/>
        <s v="Shelen.Wpp"/>
        <s v="Lucas.Wpp"/>
        <s v="Irineia.Wpp"/>
        <s v="Lucélia.Wpp"/>
        <s v="Orquenea.Wpp"/>
        <s v="Luz.Wpp"/>
        <s v="Lydia.Wpp"/>
        <s v="Maíra.Wpp"/>
        <s v="Eliene.Wpp"/>
        <s v="Fabiana.Wpp"/>
        <s v="Caroline.Wpp"/>
        <s v="Verisa.Wpp"/>
        <s v="Jonas.Wpp"/>
        <s v="José.Wpp"/>
        <s v="Michelle.Wpp"/>
        <s v="Dirceu.Wpp"/>
        <s v="Tânia.Wpp"/>
        <s v="Juliana.Wpp"/>
        <s v="Silvia.Wpp"/>
        <s v="Michellini.Wpp"/>
        <s v="César.Wpp"/>
        <s v="Heidy.Wpp"/>
        <s v="GLláucia.Wpp"/>
        <s v="Rafael.Wpp"/>
        <s v="Mirian.Wpp"/>
        <s v="Nathalia.Wpp"/>
        <s v="Nathan.Wpp"/>
        <s v="Lucinea.Wpp"/>
        <s v="Polliany.Wpp"/>
      </sharedItems>
    </cacheField>
    <cacheField name="Nome - Responsável" numFmtId="0">
      <sharedItems>
        <s v="Alan César Guerra "/>
        <s v="Ingrid Luzia Ferreira Martins"/>
        <s v="Maria Thereza de Jesus Machado"/>
        <s v="Hélio Márcio José Miguel Júnior"/>
        <s v="Ana Beatrice Peixoto Mário"/>
        <s v="Ana Carolina Alves de Oliveira "/>
        <s v="Lucimar Lourdes Neto Regis"/>
        <s v="Ana Cláudia Dias Rodrigues da Silva "/>
        <s v="Jéssica Cristina Guimarães Alves "/>
        <s v="Antônio Augusto Catão Alves Júnior "/>
        <s v="Alessandra Ferreira da Silva "/>
        <s v="Maria Lima de Freitas "/>
        <s v="Alexandre Magno Silva Jorge "/>
        <s v="Sarah Cristina Veras Rodrigues "/>
        <s v="Tatielle Batista Oliveira Quadros"/>
        <s v="Carlos Sant Ana Fernandes "/>
        <s v="Lorena Muniz de Melo Cezano "/>
        <s v="Vanessa Mendes Mattoso Chagas Ferraz "/>
        <s v="Bianca da Silva Macedo Costa "/>
        <s v="Beatriz Pereira Viana "/>
        <s v="Vanessa Gomes de Lima"/>
        <s v="Mônica Deusdedit Amaro de Almeida "/>
        <s v="Bruna Gontijo Pellegrino"/>
        <s v="Thalita Angélica Fernandes de Souza "/>
        <s v="Carlos Alberto Brasil Corrêa Júnior "/>
        <s v="Daiana Patricia Ferreira de Oliveira"/>
        <s v="Charles Albert Corrêa Gonçalves"/>
        <s v="Clóvis Prazeres dos Santos "/>
        <s v="Marta Barbosa Rocha Silva "/>
        <s v="Talita Lima Lopes Heringer "/>
        <s v="Natália Pereira Gabriel "/>
        <s v="Daniela Henriques Lorenzato da Fonseca"/>
        <s v="Luiz Péricles da Mota Corrêa "/>
        <s v="Ingrid leila Lopes de Sousa "/>
        <s v="Cristiane Ramos Lírio Borges"/>
        <s v="Luana Nunes Fiuza "/>
        <s v="Simone Meireles"/>
        <s v="Elen de Oliveira Peixoto"/>
        <s v="Douglas Henrique Pinto de Morais "/>
        <s v="Roney Rodrigues Alves"/>
        <s v="Luciene Teixeira da Rocha "/>
        <s v="Nicolas Guilherme Gonçalves Medeiro "/>
        <s v="Marcos Paulo Dias Madeira "/>
        <s v="Yaksibith Yohana Conde Artigas "/>
        <s v="Leila de Almeida Arduino Antunes"/>
        <s v="Fernanda Cristiane Fernandes Heringer Milagres"/>
        <s v="Flávia da Costa Pereira Mattoso"/>
        <s v="Vera Lúcia Gonçalves Almeida"/>
        <s v="Jane Alves da Silva novaes"/>
        <s v="Gabriel Arcanjo"/>
        <s v="Fabiano Moreira triunfo "/>
        <s v="Daniel Peterson de Souza Mudado"/>
        <s v="Bernardo Nunes de Oliveira "/>
        <s v="Gionayra Gomes Silva"/>
        <s v="Leonardo Alberto Moreira"/>
        <s v="Wanda Palhares Barreto"/>
        <s v="Guilherme Tavares Cordeiro Machado"/>
        <s v="Fabíola dos Santos Oliveira Lopes Lima"/>
        <s v="Adriana Pereira de Souza"/>
        <s v="Hugo Gabriel Oliveira Leão"/>
        <s v="Letícia Bethônico Silva Ferreira "/>
        <s v="Henrique Drumond Alves "/>
        <s v="Adriano Ribeiro dos Santos"/>
        <s v="Adriana de Souza Rodrigues"/>
        <s v="Evelyn Giane Oliveira Pimentel"/>
        <s v="Helen Cristiane da Silva Santos"/>
        <s v="Igor Amaral Lopes"/>
        <s v="Inglecia dos Santos Santos "/>
        <s v="Grazielle de Souza Araújo"/>
        <s v="Erli Carla Bahia "/>
        <s v="Mara Rodrigues de Figueiredo Mendes e Wildes Freire Mendes"/>
        <s v="Ravi Soares Barbosa"/>
        <s v="Jeanne Mary Vieira Chequer"/>
        <s v="Jéssica Santos da Costa "/>
        <s v="Gabriela Ferreira Costa"/>
        <s v="Márcia Cristina Rodrigues dos Santos"/>
        <s v="Ianamara Vieira de Souza"/>
        <s v="Poliana Da Silva Lopes "/>
        <s v="Lorena Natasha Gonçalves de Barros"/>
        <s v="Paulo Henrique Teixeira de Amorim "/>
        <s v="Juliana Lourenço Gomes"/>
        <s v="Raquel Viana faria Oliveira "/>
        <s v="Naiara Flávia de Oliveira "/>
        <s v="Bárbara Grossi Monteiro de Castro "/>
        <s v="Cátia Cristina Claudiano Trindade "/>
        <s v="Raimunda Vieira Fernandes Santos"/>
        <s v="Cristiane Áurea Costa Gomes "/>
        <s v="Letícia Pereira Quintaes Godinho "/>
        <s v="Ligiele Carla Resende de Oliveira"/>
        <s v="Naidy Augusta Braga Magalhães"/>
        <s v="Tatiane Michele Campos de Oliveira Rosa "/>
        <s v="Luana Maira Silva Vieira"/>
        <s v="Shelen Reis Da Silva Lopes"/>
        <s v="Lucas Baudson Alves "/>
        <s v="Irineia Dornelas "/>
        <s v="Lucas Ricardo dos Santos Manço "/>
        <s v="Lucélia Barbosa "/>
        <s v="Orquenea Sousa Santos "/>
        <s v="Natália Alves Pinto Motta "/>
        <s v="Luiz Romaniello Neto"/>
        <s v="Luz Marina Rodrigues da Silva "/>
        <s v="Lydia Linon Batista Lemos"/>
        <s v="Maíra Danielle Oliveira Santos"/>
        <s v="Fernanda Araújo dos Santos Alves"/>
        <s v="Eliene Nunes souza"/>
        <s v="Fabiana Cristina Reis Tenório"/>
        <s v="Maria Cecília Garcia Paradizi"/>
        <s v="Caroline Lohana Santos Freitas"/>
        <s v="Maria Helena Orlandi Campos e Ávila"/>
        <s v="Maria Isabel Clemente Liberato"/>
        <s v="Verisa Fracalossi Pimenta "/>
        <s v="Jonas Souza Braun"/>
        <s v="José Francisco Alves"/>
        <s v="Michelle mãe"/>
        <s v="Cristiane Ramos Lirio Borges"/>
        <s v="Dirceu Cândido de Souza"/>
        <s v="Tânia Shirlei de Oliveira Nepomuceno"/>
        <s v="Juliana Costa Righi"/>
        <s v="Angelita Izabel Pereira"/>
        <s v="Breno Costa Canguçu"/>
        <s v="Silvia Maria Teixeira Lopes"/>
        <s v="Michellini dos Reis Foureaux "/>
        <s v="César Augusto Torres "/>
        <s v="Heidy Silva Alves "/>
        <s v="GLláucia Linhares da Silva"/>
        <s v="Rebeca Kelly Menezes Guedes"/>
        <s v="Rafael Simião Marques Pereira"/>
        <s v="Gabriela Dias de Oliveira Montovani"/>
        <s v="Mirian Rodrigues de Morais"/>
        <s v="Nathalia Machado Domingos Souza Lima "/>
        <s v="Nathan Phelipe Silva Rodrigues"/>
        <s v="Lucinea Ferreira dos Santos "/>
        <s v="Alexandre Luciano Tinoco"/>
        <s v="Talita Grazielle dos Santos"/>
        <s v="Cristiane Aparecida Kosiniuk "/>
        <s v="Eliene da Glória Chaves Pimenta "/>
        <s v="Poliana da Silva Lopes"/>
        <s v="Polliany Sincero Nunes Fialho da Silva "/>
      </sharedItems>
    </cacheField>
    <cacheField name="Estagiário Responsável" numFmtId="0">
      <sharedItems containsBlank="1">
        <s v="Lidiane"/>
        <s v="Rafa"/>
        <s v="Rachel"/>
        <s v="Luciana"/>
        <s v="Rafaela Alcântara"/>
        <s v="Sarah"/>
        <s v="Tatiana"/>
        <s v="Amanda"/>
        <s v="Luiz"/>
        <s v="Rachel "/>
        <s v="Frances"/>
        <s v="Sarah Antunes"/>
        <m/>
        <s v="Walisson"/>
        <s v="Renata"/>
        <s v="Pedro"/>
        <s v="Graziela"/>
        <s v="Gabriel"/>
        <s v="Amanda Guimarães"/>
        <s v="Rafaela"/>
        <s v="Aurea"/>
        <s v="Vanessa"/>
        <s v="Lívia"/>
        <s v="Tatiana Souto"/>
        <s v="Débora "/>
      </sharedItems>
    </cacheField>
    <cacheField name="Data - 1ª sessão" numFmtId="164">
      <sharedItems containsSemiMixedTypes="0" containsDate="1" containsString="0">
        <d v="2025-10-06T00:00:00Z"/>
        <d v="2025-02-19T00:00:00Z"/>
        <d v="2025-07-18T00:00:00Z"/>
        <d v="2025-04-28T00:00:00Z"/>
        <d v="2025-09-26T00:00:00Z"/>
        <d v="2025-10-02T00:00:00Z"/>
        <d v="2025-06-10T00:00:00Z"/>
        <d v="2025-10-07T00:00:00Z"/>
        <d v="2025-09-09T00:00:00Z"/>
        <d v="2025-05-23T00:00:00Z"/>
        <d v="2025-03-14T00:00:00Z"/>
        <d v="2025-05-12T00:00:00Z"/>
        <d v="2025-09-17T00:00:00Z"/>
        <d v="2025-09-24T00:00:00Z"/>
        <d v="2025-10-17T00:00:00Z"/>
        <d v="2025-11-19T00:00:00Z"/>
        <d v="2025-10-22T00:00:00Z"/>
        <d v="2025-08-20T00:00:00Z"/>
        <d v="2025-08-19T00:00:00Z"/>
        <d v="2025-10-24T00:00:00Z"/>
        <d v="2025-10-03T00:00:00Z"/>
        <d v="2025-09-23T00:00:00Z"/>
        <d v="2025-09-01T00:00:00Z"/>
        <d v="2025-05-09T00:00:00Z"/>
        <d v="2025-03-24T00:00:00Z"/>
        <d v="2025-05-14T00:00:00Z"/>
        <d v="2025-04-10T00:00:00Z"/>
        <d v="2025-06-09T00:00:00Z"/>
        <d v="2025-05-13T00:00:00Z"/>
        <d v="2025-04-01T00:00:00Z"/>
        <d v="2025-12-09T00:00:00Z"/>
        <d v="2025-05-05T00:00:00Z"/>
        <d v="2025-05-28T00:00:00Z"/>
        <d v="2025-05-21T00:00:00Z"/>
        <d v="2025-05-08T00:00:00Z"/>
        <d v="2025-11-11T00:00:00Z"/>
        <d v="2025-05-29T00:00:00Z"/>
        <d v="2025-05-06T00:00:00Z"/>
        <d v="2025-11-13T00:00:00Z"/>
        <d v="2025-11-24T00:00:00Z"/>
        <d v="2025-12-02T00:00:00Z"/>
        <d v="2025-07-28T00:00:00Z"/>
        <d v="2025-12-03T00:00:00Z"/>
        <d v="2025-05-07T00:00:00Z"/>
        <d v="2025-12-04T00:00:00Z"/>
        <d v="2025-04-08T00:00:00Z"/>
        <d v="2025-09-12T00:00:00Z"/>
        <d v="2025-09-04T00:00:00Z"/>
        <d v="2025-03-27T00:00:00Z"/>
        <d v="2025-12-12T00:00:00Z"/>
        <d v="2025-07-22T00:00:00Z"/>
        <d v="2025-12-15T00:00:00Z"/>
        <d v="2026-01-08T00:00:00Z"/>
        <d v="2025-03-21T00:00:00Z"/>
        <d v="2025-06-11T00:00:00Z"/>
        <d v="2026-01-12T00:00:00Z"/>
        <d v="2025-08-18T00:00:00Z"/>
        <d v="2025-08-21T00:00:00Z"/>
        <d v="2025-07-01T00:00:00Z"/>
        <d v="2025-09-30T00:00:00Z"/>
        <d v="2025-08-22T00:00:00Z"/>
        <d v="2025-05-15T00:00:00Z"/>
        <d v="2026-01-14T00:00:00Z"/>
        <d v="2025-03-26T00:00:00Z"/>
        <d v="2026-01-16T00:00:00Z"/>
        <d v="2025-09-18T00:00:00Z"/>
        <d v="2025-10-16T00:00:00Z"/>
        <d v="2025-08-28T00:00:00Z"/>
        <d v="2026-01-19T00:00:00Z"/>
        <d v="2025-04-30T00:00:00Z"/>
        <d v="2025-04-07T00:00:00Z"/>
        <d v="2025-04-02T00:00:00Z"/>
        <d v="2026-01-20T00:00:00Z"/>
        <d v="2025-09-10T00:00:00Z"/>
        <d v="2025-04-09T00:00:00Z"/>
        <d v="2025-10-01T00:00:00Z"/>
        <d v="2025-06-24T00:00:00Z"/>
        <d v="2025-03-18T00:00:00Z"/>
        <d v="2026-01-22T00:00:00Z"/>
        <d v="2025-03-28T00:00:00Z"/>
        <d v="2025-08-13T00:00:00Z"/>
        <d v="2025-10-09T00:00:00Z"/>
        <d v="2026-01-26T00:00:00Z"/>
        <d v="2025-05-20T00:00:00Z"/>
        <d v="2026-02-02T00:00:00Z"/>
        <d v="2025-06-23T00:00:00Z"/>
        <d v="2026-02-05T00:00:00Z"/>
        <d v="2026-02-06T00:00:00Z"/>
        <d v="2025-10-23T00:00:00Z"/>
        <d v="2025-05-26T00:00:00Z"/>
        <d v="2026-02-10T00:00:00Z"/>
        <d v="2025-07-29T00:00:00Z"/>
        <d v="2025-11-06T00:00:00Z"/>
        <d v="2026-02-12T00:00:00Z"/>
        <d v="2026-02-19T00:00:00Z"/>
        <d v="2025-07-03T00:00:00Z"/>
      </sharedItems>
    </cacheField>
    <cacheField name="Data - Fim">
      <sharedItems containsDate="1" containsBlank="1" containsMixedTypes="1">
        <d v="2025-12-05T00:00:00Z"/>
        <m/>
        <d v="2025-09-16T00:00:00Z"/>
        <d v="2025-06-27T00:00:00Z"/>
        <d v="2025-11-25T00:00:00Z"/>
        <d v="2025-12-01T00:00:00Z"/>
        <d v="2025-08-09T00:00:00Z"/>
        <d v="2025-12-06T00:00:00Z"/>
        <d v="2025-11-08T00:00:00Z"/>
        <d v="2025-07-22T00:00:00Z"/>
        <d v="2025-05-13T00:00:00Z"/>
        <d v="2025-07-11T00:00:00Z"/>
        <d v="2025-11-16T00:00:00Z"/>
        <d v="2025-11-23T00:00:00Z"/>
        <d v="2025-12-16T00:00:00Z"/>
        <d v="2026-01-18T00:00:00Z"/>
        <d v="2025-12-21T00:00:00Z"/>
        <d v="2025-10-19T00:00:00Z"/>
        <d v="2025-10-18T00:00:00Z"/>
        <d v="2025-12-23T00:00:00Z"/>
        <d v="2025-12-02T00:00:00Z"/>
        <d v="2025-11-22T00:00:00Z"/>
        <d v="2025-10-31T00:00:00Z"/>
        <d v="2025-07-08T00:00:00Z"/>
        <d v="2025-05-23T00:00:00Z"/>
        <d v="2025-07-13T00:00:00Z"/>
        <d v="2025-06-09T00:00:00Z"/>
        <d v="2025-08-08T00:00:00Z"/>
        <d v="2025-07-12T00:00:00Z"/>
        <d v="2025-05-31T00:00:00Z"/>
        <d v="2026-02-07T00:00:00Z"/>
        <d v="2025-07-04T00:00:00Z"/>
        <d v="2025-07-27T00:00:00Z"/>
        <d v="2025-07-20T00:00:00Z"/>
        <d v="2025-07-07T00:00:00Z"/>
        <d v="2026-01-10T00:00:00Z"/>
        <d v="2025-07-28T00:00:00Z"/>
        <d v="2025-07-05T00:00:00Z"/>
        <d v="2026-01-12T00:00:00Z"/>
        <d v="2026-01-23T00:00:00Z"/>
        <d v="2026-01-31T00:00:00Z"/>
        <d v="2025-09-26T00:00:00Z"/>
        <d v="2026-02-01T00:00:00Z"/>
        <d v="2025-07-06T00:00:00Z"/>
        <d v="2026-02-02T00:00:00Z"/>
        <d v="2025-06-07T00:00:00Z"/>
        <d v="2025-11-11T00:00:00Z"/>
        <d v="2025-11-03T00:00:00Z"/>
        <d v="2025-05-26T00:00:00Z"/>
        <d v="2026-02-10T00:00:00Z"/>
        <d v="2025-09-20T00:00:00Z"/>
        <s v="-"/>
        <d v="2025-05-20T00:00:00Z"/>
        <d v="2025-08-10T00:00:00Z"/>
        <d v="2025-10-17T00:00:00Z"/>
        <d v="2025-10-20T00:00:00Z"/>
        <d v="2025-08-30T00:00:00Z"/>
        <d v="2025-11-29T00:00:00Z"/>
        <d v="2025-10-21T00:00:00Z"/>
        <d v="2025-07-14T00:00:00Z"/>
        <d v="2025-05-25T00:00:00Z"/>
        <d v="2025-11-17T00:00:00Z"/>
        <d v="2025-12-15T00:00:00Z"/>
        <d v="2025-10-27T00:00:00Z"/>
        <d v="2025-06-29T00:00:00Z"/>
        <d v="2025-06-06T00:00:00Z"/>
        <d v="2025-06-01T00:00:00Z"/>
        <d v="2025-11-09T00:00:00Z"/>
        <d v="2025-06-08T00:00:00Z"/>
        <d v="2025-11-30T00:00:00Z"/>
        <d v="2025-08-23T00:00:00Z"/>
        <d v="2025-05-17T00:00:00Z"/>
        <d v="2025-05-27T00:00:00Z"/>
        <d v="2025-10-12T00:00:00Z"/>
        <d v="2025-12-08T00:00:00Z"/>
        <d v="2025-07-19T00:00:00Z"/>
        <d v="2025-08-22T00:00:00Z"/>
        <d v="2025-12-22T00:00:00Z"/>
        <d v="2025-07-25T00:00:00Z"/>
        <d v="2025-09-27T00:00:00Z"/>
        <d v="2026-01-05T00:00:00Z"/>
        <d v="2025-09-01T00:00:00Z"/>
      </sharedItems>
    </cacheField>
    <cacheField name="Data - devolutiva">
      <sharedItems containsDate="1" containsBlank="1" containsMixedTypes="1">
        <m/>
        <d v="2025-11-18T00:00:00Z"/>
        <d v="2025-11-10T00:00:00Z"/>
        <d v="2025-12-03T00:00:00Z"/>
        <d v="2025-12-11T00:00:00Z"/>
        <d v="2025-11-19T00:00:00Z"/>
        <d v="2025-12-15T00:00:00Z"/>
        <d v="2025-11-25T00:00:00Z"/>
        <s v="23/01 - 13h"/>
        <d v="2025-12-09T00:00:00Z"/>
        <d v="2025-12-31T00:00:00Z"/>
        <d v="2025-11-26T00:00:00Z"/>
        <d v="2025-12-29T00:00:00Z"/>
        <d v="2025-12-01T00:00:00Z"/>
        <d v="2025-11-07T00:00:00Z"/>
        <d v="2025-11-27T00:00:00Z"/>
        <d v="2025-12-10T00:00:00Z"/>
        <d v="2025-11-13T00:00:00Z"/>
        <d v="2025-11-17T00:00:00Z"/>
        <d v="2025-12-16T00:00:00Z"/>
        <d v="2025-11-05T00:00:00Z"/>
        <d v="2025-12-22T00:00:00Z"/>
      </sharedItems>
    </cacheField>
    <cacheField name="E-mail - Contato" numFmtId="0">
      <sharedItems containsBlank="1">
        <s v="alan-guerra1@hotmail.com"/>
        <m/>
        <s v="ashbel.abgail@gmail.com"/>
        <s v="lelimmjnp16@gmail.com"/>
        <s v="pmanabeatrice@gmail.com"/>
        <s v="caroltreinos@gmail.com"/>
        <s v="carolthemachine@hotmail.com"/>
        <s v="ana.cdrs@gmail.cok"/>
        <s v="Jc691611@gmail.com"/>
        <s v="profissional.mg9@gmail.com"/>
        <s v="alessandraferreira3517@gmail.com"/>
        <s v="-"/>
        <s v="barbara1234jorge@gmail.com"/>
        <s v="sarahcrisverasrod@gmail.com"/>
        <s v="tatielle.quadros@gmail.com"/>
        <s v="mariliamafernandes@yahoo.com.br"/>
        <s v="lorena.cezano@gmail.com"/>
        <s v="vanessa.queiros.mattoso@gmail.com"/>
        <s v="bianca2003.ls.mg@gmail.com"/>
        <s v="vianabeatriz006@gmail.com"/>
        <s v="vanglima@yahoo.com.br"/>
        <s v="brenodeusda@hotmail.com"/>
        <s v="brunapel@hotmail.com"/>
        <s v="thalitalucasigor@gmail.com"/>
        <s v="carlos313231@yahoo.com.br"/>
        <s v="odaiana995@gmail.com"/>
        <s v="charlesacg@gmail.com"/>
        <s v="clovissanthari777@gmail.com"/>
        <s v="martabarbosa151221@gmail.com"/>
        <s v="talitadanigui@gmail.com"/>
        <s v="npg1901@gmail.com"/>
        <s v="danylorenzato87@gmail.com"/>
        <s v="daniella.bh@gmail.com"/>
        <s v="ingridvendas11@gmail.com"/>
        <s v="crisralirio2010@gmail.com"/>
        <s v="luanafiuzanunes@hotmail.com"/>
        <s v="simonemeirelespower@gmail.com"/>
        <s v="elenm1@hotmail.com"/>
        <s v="elienecv15@gmail.com"/>
        <s v="gelainesa24@gmail.com"/>
        <s v="lu85457515@gmail.com "/>
        <s v="dgdanyglima12@gmail.com"/>
        <s v="Ana.oraide@gmail.com"/>
        <s v="yaksibith.conde@gmail.com"/>
        <s v="leilaaarduino@hotmail.com"/>
        <s v="Fern"/>
        <s v="flaviamattosofono@gmail.com"/>
        <s v="jane.a.s.novaes@gmail.com"/>
        <s v="arck4nj0@gmail.com"/>
        <s v="fabianomtriunfo@hotmail.com"/>
        <s v="cmfp27@gmail.com"/>
        <s v="gionayra@gmail.com"/>
        <s v="marcela.leao@outlook.com"/>
        <s v="jupmbarreto@gmail.com "/>
        <s v="guilhermetcordeiro73@gmail.com"/>
        <s v="fabiola_hitinha@hotmail.com"/>
        <s v="adrianasouza2713@gmail.com"/>
        <s v="rerejornalismo@gmail.com"/>
        <s v="ribeiroelaine2021@gmail.com"/>
        <s v="adrianadesouzarodrigues2024@gmail.com"/>
        <s v="helencris100@gmail.com"/>
        <s v="igoramaral95@hotmail.com"/>
        <s v="Ingleciasantos2013@hotmail.com "/>
        <s v="graziellesouza0510@gmail.com"/>
        <s v="erlicarlinha@yahoo.com.br"/>
        <s v="marapedagogia@bol.com.br"/>
        <s v="ravisbarbosa@gmail.com"/>
        <s v="jeannemary13@gmail.com"/>
        <s v="jessica.scd@hotmail.com"/>
        <s v="gabrielicostajb@gmail.com"/>
        <s v="cristhyta.sr@gmail.com"/>
        <s v="ianavieira465@gmail.com"/>
        <s v="polianasilva.lopes@yahoo.com.br"/>
        <s v="rauanysouza2012@hotmail.com"/>
        <s v="raquelvianafariaoliveira@gmail.com"/>
        <s v="naiaraflaviaoliveira@hotmail.com"/>
        <s v="pcmmc2013@gmail.com"/>
        <s v="catiaclaudianotrindade@gmail.com"/>
        <s v="raimundavieirafernandes@gmail.com"/>
        <s v="cristiane.aurea@hotmail.com"/>
        <s v="leticiaquintaes-2019@hotmail.com"/>
        <s v="ligiele@gmail.com"/>
        <s v="naidycmd@gmail.com"/>
        <s v="locarosa02@gmail.com"/>
        <s v="vieiralums@gmail.com"/>
        <s v="shelenreisdasilvalopes92@gmail.com"/>
        <s v="baudson.lucas@gmail.com"/>
        <s v="irineiadornelas@yahoo.com.br"/>
        <s v="lucasricardosanto@gmail.com"/>
        <s v="Lucelia.brasil@yahoo.com.br"/>
        <s v="Orqueneasousasantos@gmail.com"/>
        <s v="nataliaalvespintomotta@gmail.com"/>
        <s v="luizromaniello@gmail.com"/>
        <s v="luzmarinaawa@gmail.com"/>
        <s v="lyyyh1.8@gmail.com"/>
        <s v="mairadanielle.s@gmail.com"/>
        <s v="elienenunes.souza@gmail.com"/>
        <s v="fabiana.tenorio86@gmail.com"/>
        <s v="cissagarcia@gmail.com"/>
        <s v="carolinefreitas453@gmail.com"/>
        <s v="lenamhoc@yahoo.com.br"/>
        <s v="isabelliberato2011@gmail.com"/>
        <s v="vfpimenta@gmail.com"/>
        <s v="jannesjannescarvalho@gmail.com"/>
        <s v="marianemarcial07@gmail.com"/>
        <s v="michellegandos12@gmail.com"/>
        <s v="dani1702.bh@gmail.com"/>
        <s v="tanian960@gmail.com"/>
        <s v="jurighipsi@gmail.com"/>
        <s v="michellinirf@gmail.com "/>
        <s v="fabioliveirabh@hotmail.com"/>
        <s v="Heidymarcos23@gmail.com"/>
        <s v="glaucia.linharess@gmail.com"/>
        <s v="lucianarodrigues7@hotmail.com"/>
        <s v="gabriela.his@hotmail.com"/>
        <s v="nathaliamail@gmail.com"/>
        <s v="nathanpsrodrigues@gmail.com"/>
        <s v="Lucineafs.37@hotmail.com"/>
        <s v="silvinhamax@hotmail.com"/>
        <s v="tgrazielle13@gmail.com"/>
        <s v="Criskosiniuk@gmail.com "/>
        <s v="elienegchaves@gmail.com"/>
        <s v="pollyfialho@hotmail.com"/>
      </sharedItems>
    </cacheField>
    <cacheField name="CPF - Responsável">
      <sharedItems containsBlank="1" containsMixedTypes="1" containsNumber="1" containsInteger="1">
        <m/>
        <s v="02965750622"/>
        <s v="01907607617"/>
        <s v="147.460.076-08"/>
        <s v="02450093613"/>
        <n v="1.0789005662E10"/>
        <s v="103.598.686-81 "/>
        <n v="9.2376240697E10"/>
        <s v="05159766600"/>
        <s v="054.232.516-05"/>
        <s v="178.523.466-85"/>
        <n v="3.811677632E9"/>
        <n v="1.2279799677E10"/>
        <s v="00183975650"/>
        <s v="164.372.636-60"/>
        <s v="730.270.066-49"/>
        <n v="1.6083375614E10"/>
        <s v="086.368.536-64 "/>
        <n v="4.481778628E9"/>
        <n v="7.4393782615E10"/>
        <s v="01263891608"/>
        <n v="9.37982962E9"/>
        <s v="955.238.396-04 "/>
        <s v="07891787611"/>
        <n v="9.6096551653E10"/>
        <n v="5.9491914553E10"/>
        <s v="999950696-87 "/>
        <s v="09722745611"/>
        <s v="059.388.596-11 "/>
        <n v="8.055943613E9"/>
        <s v="978.217.806-34 "/>
        <s v="123.308.376-74"/>
        <s v="07549149682"/>
        <s v="04544594677"/>
        <s v="05643344645"/>
        <n v="1.0149776659E10"/>
        <n v="6.934031601E9"/>
        <s v="809.389.736-49"/>
        <s v="149.229.136-61"/>
        <n v="7.371036638E9"/>
        <s v="708.493.682-35 "/>
        <n v="4.1973631687E10"/>
        <s v="01428494614"/>
        <s v="045445946-77"/>
        <s v="708.493.682-35"/>
        <n v="8.2739854668E10"/>
        <n v="7.6990834668E10"/>
        <s v="02236595689"/>
        <s v="01232875619"/>
        <s v="05434978609"/>
        <s v="06459708673"/>
        <s v="065120616-24"/>
        <s v="011.180.316-01"/>
        <n v="1.0647299674E10"/>
        <n v="1.1373988681E10"/>
        <s v="186.552.496-45"/>
        <s v="174.556.886-79"/>
        <s v="03994036631"/>
        <s v="162.782.026-46"/>
        <n v="8.801714645E9"/>
        <s v="01979988609"/>
        <s v="189.612.886-60"/>
        <s v="038.835.816-58"/>
        <s v="05696432603"/>
        <s v="579.683.306-53"/>
        <n v="1.2901001602E10"/>
        <s v="033.598.483-57"/>
        <n v="1.0959187618E10"/>
        <s v="052.207.046-99"/>
        <s v="078.927.396-96"/>
        <n v="1.1703257693E10"/>
        <s v="07543862603"/>
        <n v="1.527660656E9"/>
        <n v="2.904461639E9"/>
        <s v="00144065606"/>
        <s v="152.824.006-50"/>
        <s v="043.040.466-24 "/>
        <s v="06979753630"/>
        <s v="01430102632"/>
        <n v="1.0239232623E10"/>
        <s v="01307713688"/>
        <s v="140.697.206-18"/>
        <n v="1.2285417608E10"/>
        <n v="1.2919762729E10"/>
        <s v="00648766675"/>
        <s v="068.616.716-30 "/>
        <s v="122.956.786-09 "/>
        <n v="1.2497429628E10"/>
        <s v="05547441635"/>
        <s v="04461305678"/>
        <n v="1.2631510607E10"/>
        <s v="01276621620"/>
        <s v="07861784690"/>
        <s v="05220943685"/>
        <n v="1.7240596613E10"/>
        <n v="7.947484562E10"/>
        <s v="147.465.606-41"/>
        <s v="071.235.036-51"/>
        <s v="606.824.186-68"/>
        <s v="08109802664"/>
        <s v="151.861.346-27"/>
        <s v="03448309699"/>
        <s v="00149178662/327836636-00"/>
        <n v="9.9195739653E10"/>
        <s v="046.652.545-16"/>
        <s v="152.730.797-21"/>
        <s v="04478263604"/>
        <s v="611.297.126-72 "/>
        <s v="112.001.946-08 "/>
        <s v="037.852.577-83 "/>
        <s v="078.622.445-24"/>
        <s v="05476546693"/>
        <s v="041.817.756-23"/>
        <s v="09584873679"/>
        <n v="9.848382607E9"/>
        <s v="025.052.296 94 "/>
        <s v="178.368.736-33"/>
        <s v="03123609677"/>
        <s v="960.548.756-04"/>
        <s v="08402883605"/>
      </sharedItems>
    </cacheField>
    <cacheField name="Dia/Horário" numFmtId="0">
      <sharedItems containsBlank="1">
        <m/>
        <s v="-"/>
        <s v="qua, 15h"/>
        <s v="qua, 10h"/>
        <s v="seg, 9h"/>
        <s v="seg, 10h"/>
        <s v="seg, 8h"/>
        <s v="sex, 10h"/>
        <s v="qui, 11h"/>
        <s v="seg, 11h"/>
        <s v="seg, 14h"/>
        <s v="ter, 9h"/>
        <s v="qui, 16h"/>
        <s v="qui, 14h"/>
      </sharedItems>
    </cacheField>
    <cacheField name="Observações">
      <sharedItems containsBlank="1" containsMixedTypes="1" containsNumber="1" containsInteger="1">
        <n v="-2026.0"/>
        <m/>
        <s v="Devolutiva 28/01 15h"/>
        <s v="Yuri"/>
        <s v="devolutiva 03/02"/>
        <s v=" (cobrei os docs da mãe, vai ficar pra 2026)"/>
        <s v="Ficou muito tempo sem vir"/>
        <s v="Devolutiva 23/01 16h"/>
        <s v="Ela ficou de confirmar a data"/>
        <s v=" (devolutiva 19/01)"/>
        <s v="segunda semana de fevereiro"/>
        <s v="Devolutiva dia 23/01"/>
        <s v="Devolutiva 21/01 Luciana"/>
        <s v="Laudo focado na funcionalidade"/>
        <s v="Mandar mensagem"/>
        <s v="Reunião marcada com a mãe"/>
        <s v="Não está vindo"/>
        <s v="Amanda"/>
        <s v="Limite início de fevereiro (o pai é o rodrigo???)"/>
        <s v="Avaliando as pastas do paciente na Fundação"/>
        <s v="Ligar para a escola"/>
        <s v="05/02 14h"/>
        <s v="Devolutiva 20/01 14h"/>
        <s v=" (a mãe não ta preocupada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00" sheet="Tabela dinâmica 1"/>
  </cacheSource>
  <cacheFields>
    <cacheField name="Nome" numFmtId="0">
      <sharedItems containsBlank="1">
        <s v="Ana Beatrice Peixoto Mário"/>
        <s v="Bernardo Muniz de Melo Cezano "/>
        <s v="Davi Henrique Ramos Lírio Borges de Jesus "/>
        <s v="Gabriel Alves Novaes"/>
        <s v="Gabriel Henrique Rodrigues Triunfo"/>
        <s v="Lucas Ricardo dos Santos Manço "/>
        <s v="Maria Luísa Fracalossi Ferreira"/>
        <s v="Miguel Linhares de Sousa"/>
        <s v="Total geral"/>
        <m/>
      </sharedItems>
    </cacheField>
    <cacheField name="Data - 1ª sessão" numFmtId="164">
      <sharedItems containsDate="1" containsString="0" containsBlank="1">
        <d v="2025-09-26T00:00:00Z"/>
        <d v="2025-11-19T00:00:00Z"/>
        <d v="2025-12-09T00:00:00Z"/>
        <d v="2025-05-07T00:00:00Z"/>
        <d v="2025-05-14T00:00:00Z"/>
        <d v="2025-10-01T00:00:00Z"/>
        <d v="2025-10-09T00:00:00Z"/>
        <d v="2025-05-26T00:00:00Z"/>
        <m/>
      </sharedItems>
    </cacheField>
    <cacheField name="Status" numFmtId="0">
      <sharedItems containsBlank="1">
        <s v="Laudo "/>
        <m/>
      </sharedItems>
    </cacheField>
    <cacheField name="Amanda/Yuri" numFmtId="0">
      <sharedItems containsBlank="1">
        <s v="Amanda"/>
        <s v="Yuri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40" sheet="Tabela dinâmica 1"/>
  </cacheSource>
  <cacheFields>
    <cacheField name="Nome" numFmtId="0">
      <sharedItems containsBlank="1">
        <s v="Ana Beatrice Peixoto Mário"/>
        <s v="Bernardo Muniz de Melo Cezano "/>
        <s v="Davi Henrique Ramos Lírio Borges de Jesus "/>
        <s v="Gabriel Alves Novaes"/>
        <s v="Gabriel Henrique Rodrigues Triunfo"/>
        <s v="Lucas Ricardo dos Santos Manço "/>
        <s v="Maria Luísa Fracalossi Ferreira"/>
        <s v="Miguel Linhares de Sousa"/>
        <s v="Total geral"/>
        <m/>
      </sharedItems>
    </cacheField>
    <cacheField name="Data - 1ª sessão" numFmtId="164">
      <sharedItems containsDate="1" containsString="0" containsBlank="1">
        <d v="2025-09-26T00:00:00Z"/>
        <d v="2025-11-19T00:00:00Z"/>
        <d v="2025-12-09T00:00:00Z"/>
        <d v="2025-05-07T00:00:00Z"/>
        <d v="2025-05-14T00:00:00Z"/>
        <d v="2025-10-01T00:00:00Z"/>
        <d v="2025-10-09T00:00:00Z"/>
        <d v="2025-05-26T00:00:00Z"/>
        <m/>
      </sharedItems>
    </cacheField>
    <cacheField name="Status" numFmtId="0">
      <sharedItems containsBlank="1">
        <s v="Laudo "/>
        <m/>
      </sharedItems>
    </cacheField>
    <cacheField name="Amanda/Yuri" numFmtId="0">
      <sharedItems containsBlank="1">
        <s v="Amanda"/>
        <s v="Yuri"/>
        <m/>
      </sharedItems>
    </cacheField>
    <cacheField name="Estagiário Responsável" numFmtId="0">
      <sharedItems containsBlank="1">
        <s v="Rafaela Alcântara"/>
        <s v="Pedro"/>
        <s v="Luciana"/>
        <s v="Sarah"/>
        <m/>
      </sharedItems>
    </cacheField>
    <cacheField name="COUNTA de Status" numFmtId="0">
      <sharedItems containsString="0" containsBlank="1" containsNumber="1" containsInteger="1">
        <n v="1.0"/>
        <n v="8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F10" firstHeaderRow="0" firstDataRow="5" firstDataCol="0"/>
  <pivotFields>
    <pivotField name="Nome" axis="axisRow" compact="0" outline="0" multipleItemSelectionAllowed="1" showAll="0" sortType="ascending" defaultSubtotal="0">
      <items>
        <item x="0"/>
        <item x="137"/>
        <item x="3"/>
        <item x="4"/>
        <item x="5"/>
        <item x="6"/>
        <item x="7"/>
        <item x="123"/>
        <item x="9"/>
        <item x="10"/>
        <item x="11"/>
        <item x="67"/>
        <item x="12"/>
        <item x="96"/>
        <item x="15"/>
        <item x="16"/>
        <item x="56"/>
        <item x="18"/>
        <item x="19"/>
        <item x="12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3"/>
        <item x="40"/>
        <item x="41"/>
        <item x="108"/>
        <item x="138"/>
        <item x="45"/>
        <item x="46"/>
        <item x="47"/>
        <item x="48"/>
        <item x="50"/>
        <item x="83"/>
        <item x="52"/>
        <item x="53"/>
        <item x="54"/>
        <item x="55"/>
        <item x="132"/>
        <item x="57"/>
        <item x="58"/>
        <item x="59"/>
        <item x="60"/>
        <item x="61"/>
        <item x="62"/>
        <item x="1"/>
        <item x="65"/>
        <item x="20"/>
        <item x="66"/>
        <item x="44"/>
        <item x="63"/>
        <item x="69"/>
        <item x="70"/>
        <item x="71"/>
        <item x="116"/>
        <item x="73"/>
        <item x="74"/>
        <item x="76"/>
        <item x="77"/>
        <item x="78"/>
        <item x="79"/>
        <item x="80"/>
        <item x="81"/>
        <item x="82"/>
        <item x="14"/>
        <item x="84"/>
        <item x="86"/>
        <item x="87"/>
        <item x="88"/>
        <item x="89"/>
        <item x="64"/>
        <item x="91"/>
        <item x="92"/>
        <item x="93"/>
        <item x="94"/>
        <item x="95"/>
        <item x="4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68"/>
        <item x="109"/>
        <item x="110"/>
        <item x="111"/>
        <item x="112"/>
        <item x="113"/>
        <item x="114"/>
        <item x="115"/>
        <item x="2"/>
        <item x="117"/>
        <item x="118"/>
        <item x="119"/>
        <item x="90"/>
        <item x="121"/>
        <item x="122"/>
        <item x="8"/>
        <item x="125"/>
        <item x="126"/>
        <item x="127"/>
        <item x="128"/>
        <item x="129"/>
        <item x="85"/>
        <item x="131"/>
        <item x="133"/>
        <item x="134"/>
        <item x="135"/>
        <item x="136"/>
        <item x="49"/>
        <item x="72"/>
        <item x="139"/>
        <item x="140"/>
        <item x="141"/>
        <item x="142"/>
        <item x="120"/>
        <item x="75"/>
        <item x="130"/>
        <item x="13"/>
        <item x="17"/>
        <item x="51"/>
        <item x="39"/>
      </items>
    </pivotField>
    <pivotField name="Pa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Amanda/Yuri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DN - Pacien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namne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Lau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tus" axis="axisRow" dataField="1" compact="0" outline="0" multipleItemSelectionAllowed="1" showAll="0" sortType="ascending" defaultSubtotal="0">
      <items>
        <item h="1" x="3"/>
        <item h="1" x="1"/>
        <item h="1" x="0"/>
        <item x="2"/>
      </items>
    </pivotField>
    <pivotField name="Ativo ou inativo" compact="0" outline="0" multipleItemSelectionAllowed="1" showAll="0">
      <items>
        <item x="0"/>
        <item x="1"/>
        <item t="default"/>
      </items>
    </pivotField>
    <pivotField name="Telefone - 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Nome -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Estagiário Responsável" axis="axisRow" compact="0" outline="0" multipleItemSelectionAllowed="1" showAll="0" sortType="ascending">
      <items>
        <item x="12"/>
        <item x="7"/>
        <item h="1" x="18"/>
        <item x="20"/>
        <item x="24"/>
        <item x="10"/>
        <item x="17"/>
        <item x="16"/>
        <item x="0"/>
        <item x="22"/>
        <item x="3"/>
        <item x="8"/>
        <item x="15"/>
        <item x="2"/>
        <item x="9"/>
        <item h="1" x="1"/>
        <item x="19"/>
        <item x="4"/>
        <item x="14"/>
        <item x="5"/>
        <item h="1" x="11"/>
        <item x="6"/>
        <item h="1" x="23"/>
        <item x="21"/>
        <item x="13"/>
        <item t="default"/>
      </items>
    </pivotField>
    <pivotField name="Data - 1ª sessão" axis="axisRow" compact="0" numFmtId="164" outline="0" multipleItemSelectionAllowed="1" showAll="0" sortType="ascending" defaultSubtotal="0">
      <items>
        <item x="1"/>
        <item x="10"/>
        <item x="77"/>
        <item x="53"/>
        <item x="24"/>
        <item x="63"/>
        <item x="48"/>
        <item x="79"/>
        <item x="29"/>
        <item x="71"/>
        <item x="70"/>
        <item x="45"/>
        <item x="74"/>
        <item x="26"/>
        <item x="3"/>
        <item x="69"/>
        <item x="31"/>
        <item x="37"/>
        <item x="43"/>
        <item x="34"/>
        <item x="23"/>
        <item x="11"/>
        <item x="28"/>
        <item x="25"/>
        <item x="61"/>
        <item x="83"/>
        <item x="33"/>
        <item x="9"/>
        <item x="89"/>
        <item x="32"/>
        <item x="36"/>
        <item x="27"/>
        <item x="6"/>
        <item x="54"/>
        <item x="85"/>
        <item x="76"/>
        <item x="58"/>
        <item x="95"/>
        <item x="2"/>
        <item x="50"/>
        <item x="41"/>
        <item x="91"/>
        <item x="80"/>
        <item x="56"/>
        <item x="18"/>
        <item x="17"/>
        <item x="57"/>
        <item x="60"/>
        <item x="67"/>
        <item x="22"/>
        <item x="47"/>
        <item x="8"/>
        <item x="73"/>
        <item x="46"/>
        <item x="12"/>
        <item x="65"/>
        <item x="21"/>
        <item x="13"/>
        <item x="4"/>
        <item x="59"/>
        <item x="75"/>
        <item x="5"/>
        <item x="20"/>
        <item x="0"/>
        <item x="7"/>
        <item x="81"/>
        <item x="66"/>
        <item x="14"/>
        <item x="16"/>
        <item x="88"/>
        <item x="19"/>
        <item x="92"/>
        <item x="35"/>
        <item x="38"/>
        <item x="15"/>
        <item x="39"/>
        <item x="40"/>
        <item x="42"/>
        <item x="44"/>
        <item x="30"/>
        <item x="49"/>
        <item x="51"/>
        <item x="52"/>
        <item x="55"/>
        <item x="62"/>
        <item x="64"/>
        <item x="68"/>
        <item x="72"/>
        <item x="78"/>
        <item x="82"/>
        <item x="84"/>
        <item x="86"/>
        <item x="87"/>
        <item x="90"/>
        <item x="93"/>
        <item x="94"/>
      </items>
    </pivotField>
    <pivotField name="Data - F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ata - devolut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-mail - 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CPF -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Dia/Hor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  <field x="13"/>
    <field x="7"/>
    <field x="2"/>
    <field x="12"/>
  </rowFields>
  <dataFields>
    <dataField name="COUNTA of Status" fld="7" subtotal="count" baseField="0"/>
  </dataFields>
</pivotTableDefinition>
</file>

<file path=xl/pivotTables/pivotTable2.xml><?xml version="1.0" encoding="utf-8"?>
<pivotTableDefinition xmlns="http://schemas.openxmlformats.org/spreadsheetml/2006/main" name="Tabela dinâmica 1 2" cacheId="1" dataCaption="" compact="0" compactData="0">
  <location ref="I1:L6" firstHeaderRow="0" firstDataRow="1" firstDataCol="1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- 1ª sessã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Col" compact="0" outline="0" multipleItemSelectionAllowed="1" showAll="0" sortType="ascending">
      <items>
        <item x="1"/>
        <item x="0"/>
        <item t="default"/>
      </items>
    </pivotField>
    <pivotField name="Amanda/Yuri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3"/>
  </rowFields>
  <colFields>
    <field x="2"/>
  </colFields>
  <dataFields>
    <dataField name="COUNTA of Amanda/Yuri" fld="3" subtotal="count" baseField="0"/>
  </dataFields>
</pivotTableDefinition>
</file>

<file path=xl/pivotTables/pivotTable3.xml><?xml version="1.0" encoding="utf-8"?>
<pivotTableDefinition xmlns="http://schemas.openxmlformats.org/spreadsheetml/2006/main" name="Tabela dinâmica 1 3" cacheId="2" dataCaption="" compact="0" compactData="0">
  <location ref="I60:J61" firstHeaderRow="0" firstDataRow="1" firstDataCol="0" rowPageCount="1" colPageCount="1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- 1ª sessã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Amanda/Yuri" axis="axisPage" compact="0" outline="0" multipleItemSelectionAllowed="1" showAll="0">
      <items>
        <item h="1" x="0"/>
        <item h="1" x="1"/>
        <item h="1" x="2"/>
        <item t="default"/>
      </items>
    </pivotField>
    <pivotField name="Estagiário Responsável" axis="axisRow" dataField="1" compact="0" outline="0" multipleItemSelectionAllowed="1" showAll="0" sortType="ascending">
      <items>
        <item x="4"/>
        <item h="1" x="2"/>
        <item h="1" x="1"/>
        <item h="1" x="0"/>
        <item h="1" x="3"/>
        <item t="default"/>
      </items>
    </pivotField>
    <pivotField name="COUNTA de Statu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pageFields>
    <pageField fld="3"/>
  </pageFields>
  <dataFields>
    <dataField name="COUNTA of Estagiário Responsável" fld="4" subtotal="count" baseField="0"/>
  </dataFields>
</pivotTableDefinition>
</file>

<file path=xl/pivotTables/pivotTable4.xml><?xml version="1.0" encoding="utf-8"?>
<pivotTableDefinition xmlns="http://schemas.openxmlformats.org/spreadsheetml/2006/main" name="Avaliações em andamento" cacheId="0" dataCaption="" rowGrandTotals="0" compact="0" compactData="0">
  <location ref="A3:E38" firstHeaderRow="0" firstDataRow="4" firstDataCol="0" rowPageCount="1" colPageCount="1"/>
  <pivotFields>
    <pivotField name="Nome" axis="axisRow" compact="0" outline="0" multipleItemSelectionAllowed="1" showAll="0" sortType="ascending" defaultSubtotal="0">
      <items>
        <item x="0"/>
        <item x="137"/>
        <item x="3"/>
        <item x="4"/>
        <item x="5"/>
        <item x="6"/>
        <item x="7"/>
        <item x="123"/>
        <item x="9"/>
        <item x="10"/>
        <item x="11"/>
        <item x="67"/>
        <item x="12"/>
        <item x="96"/>
        <item x="15"/>
        <item x="16"/>
        <item x="56"/>
        <item x="18"/>
        <item x="19"/>
        <item x="12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3"/>
        <item x="40"/>
        <item x="41"/>
        <item x="108"/>
        <item x="138"/>
        <item x="45"/>
        <item x="46"/>
        <item x="47"/>
        <item x="48"/>
        <item x="50"/>
        <item x="83"/>
        <item x="52"/>
        <item x="53"/>
        <item x="54"/>
        <item x="55"/>
        <item x="132"/>
        <item x="57"/>
        <item x="58"/>
        <item x="59"/>
        <item x="60"/>
        <item x="61"/>
        <item x="62"/>
        <item x="1"/>
        <item x="65"/>
        <item x="20"/>
        <item x="66"/>
        <item x="44"/>
        <item x="63"/>
        <item x="69"/>
        <item x="70"/>
        <item x="71"/>
        <item x="116"/>
        <item x="73"/>
        <item x="74"/>
        <item x="76"/>
        <item x="77"/>
        <item x="78"/>
        <item x="79"/>
        <item x="80"/>
        <item x="81"/>
        <item x="82"/>
        <item x="14"/>
        <item x="84"/>
        <item x="86"/>
        <item x="87"/>
        <item x="88"/>
        <item x="89"/>
        <item x="64"/>
        <item x="91"/>
        <item x="92"/>
        <item x="93"/>
        <item x="94"/>
        <item x="95"/>
        <item x="4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68"/>
        <item x="109"/>
        <item x="110"/>
        <item x="111"/>
        <item x="112"/>
        <item x="113"/>
        <item x="114"/>
        <item x="115"/>
        <item x="2"/>
        <item x="117"/>
        <item x="118"/>
        <item x="119"/>
        <item x="90"/>
        <item x="121"/>
        <item x="122"/>
        <item x="8"/>
        <item x="125"/>
        <item x="126"/>
        <item x="127"/>
        <item x="128"/>
        <item x="129"/>
        <item x="85"/>
        <item x="131"/>
        <item x="133"/>
        <item x="134"/>
        <item x="135"/>
        <item x="136"/>
        <item x="49"/>
        <item x="72"/>
        <item x="139"/>
        <item x="140"/>
        <item x="141"/>
        <item x="142"/>
        <item x="120"/>
        <item x="75"/>
        <item x="130"/>
        <item x="13"/>
        <item x="17"/>
        <item x="51"/>
        <item x="39"/>
      </items>
    </pivotField>
    <pivotField name="Pa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Amanda/Yuri" compact="0" outline="0" multipleItemSelectionAllowed="1" showAll="0">
      <items>
        <item x="0"/>
        <item x="1"/>
        <item x="2"/>
        <item x="3"/>
        <item t="default"/>
      </items>
    </pivotField>
    <pivotField name="DN - Paciente" axis="axisRow" compact="0" numFmtId="14" outline="0" multipleItemSelectionAllowed="1" showAll="0" sortType="ascending" defaultSubtotal="0">
      <items>
        <item x="2"/>
        <item x="132"/>
        <item x="122"/>
        <item x="113"/>
        <item x="74"/>
        <item x="17"/>
        <item x="27"/>
        <item x="0"/>
        <item x="50"/>
        <item x="49"/>
        <item x="75"/>
        <item x="9"/>
        <item x="115"/>
        <item x="26"/>
        <item x="136"/>
        <item x="24"/>
        <item x="104"/>
        <item x="22"/>
        <item x="100"/>
        <item x="125"/>
        <item x="13"/>
        <item x="46"/>
        <item x="131"/>
        <item x="92"/>
        <item x="103"/>
        <item x="112"/>
        <item x="37"/>
        <item x="32"/>
        <item x="106"/>
        <item x="141"/>
        <item x="140"/>
        <item x="31"/>
        <item x="133"/>
        <item x="5"/>
        <item x="97"/>
        <item x="7"/>
        <item x="134"/>
        <item x="38"/>
        <item x="76"/>
        <item x="59"/>
        <item x="105"/>
        <item x="69"/>
        <item x="99"/>
        <item x="52"/>
        <item x="6"/>
        <item x="123"/>
        <item x="21"/>
        <item x="129"/>
        <item x="64"/>
        <item x="28"/>
        <item x="70"/>
        <item x="91"/>
        <item x="4"/>
        <item x="18"/>
        <item x="63"/>
        <item x="45"/>
        <item x="116"/>
        <item x="30"/>
        <item x="33"/>
        <item x="51"/>
        <item x="94"/>
        <item x="85"/>
        <item x="124"/>
        <item x="34"/>
        <item x="95"/>
        <item x="81"/>
        <item x="20"/>
        <item x="139"/>
        <item x="119"/>
        <item x="130"/>
        <item x="137"/>
        <item x="98"/>
        <item x="44"/>
        <item x="73"/>
        <item x="65"/>
        <item x="60"/>
        <item x="126"/>
        <item x="54"/>
        <item x="120"/>
        <item x="107"/>
        <item x="29"/>
        <item x="56"/>
        <item x="101"/>
        <item x="87"/>
        <item x="25"/>
        <item x="67"/>
        <item x="58"/>
        <item x="114"/>
        <item x="89"/>
        <item x="117"/>
        <item x="47"/>
        <item x="127"/>
        <item x="57"/>
        <item x="10"/>
        <item x="14"/>
        <item x="55"/>
        <item x="88"/>
        <item x="68"/>
        <item x="41"/>
        <item x="118"/>
        <item x="108"/>
        <item x="15"/>
        <item x="3"/>
        <item x="138"/>
        <item x="48"/>
        <item x="80"/>
        <item x="39"/>
        <item x="19"/>
        <item x="84"/>
        <item x="11"/>
        <item x="78"/>
        <item x="96"/>
        <item x="36"/>
        <item x="66"/>
        <item x="90"/>
        <item x="16"/>
        <item x="40"/>
        <item x="43"/>
        <item x="53"/>
        <item x="111"/>
        <item x="79"/>
        <item x="77"/>
        <item x="102"/>
        <item x="109"/>
        <item x="62"/>
        <item x="121"/>
        <item x="35"/>
        <item x="23"/>
        <item x="128"/>
        <item x="93"/>
        <item x="12"/>
        <item x="72"/>
        <item x="86"/>
        <item x="82"/>
        <item x="8"/>
        <item x="61"/>
        <item x="83"/>
        <item x="1"/>
        <item x="135"/>
        <item x="71"/>
        <item x="42"/>
        <item x="110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namne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Lau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tus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Ativo ou inativo" compact="0" outline="0" multipleItemSelectionAllowed="1" showAll="0">
      <items>
        <item x="0"/>
        <item x="1"/>
        <item t="default"/>
      </items>
    </pivotField>
    <pivotField name="Telefone - Contato" axis="axisRow" compact="0" outline="0" multipleItemSelectionAllowed="1" showAll="0" sortType="ascending">
      <items>
        <item x="64"/>
        <item x="39"/>
        <item x="5"/>
        <item x="83"/>
        <item x="41"/>
        <item x="85"/>
        <item x="95"/>
        <item x="11"/>
        <item x="91"/>
        <item x="120"/>
        <item x="98"/>
        <item x="52"/>
        <item x="20"/>
        <item x="40"/>
        <item x="15"/>
        <item x="133"/>
        <item x="38"/>
        <item x="90"/>
        <item x="57"/>
        <item x="10"/>
        <item x="109"/>
        <item x="114"/>
        <item x="43"/>
        <item x="31"/>
        <item x="16"/>
        <item x="6"/>
        <item x="88"/>
        <item x="82"/>
        <item x="60"/>
        <item x="89"/>
        <item x="130"/>
        <item x="115"/>
        <item x="65"/>
        <item x="103"/>
        <item x="116"/>
        <item x="106"/>
        <item x="23"/>
        <item x="28"/>
        <item x="122"/>
        <item x="36"/>
        <item x="35"/>
        <item x="8"/>
        <item x="33"/>
        <item x="77"/>
        <item x="70"/>
        <item x="29"/>
        <item x="19"/>
        <item x="80"/>
        <item x="14"/>
        <item x="81"/>
        <item x="117"/>
        <item x="69"/>
        <item x="27"/>
        <item x="50"/>
        <item x="101"/>
        <item x="76"/>
        <item x="134"/>
        <item x="96"/>
        <item x="126"/>
        <item x="48"/>
        <item x="30"/>
        <item x="111"/>
        <item x="56"/>
        <item x="37"/>
        <item x="18"/>
        <item x="42"/>
        <item x="13"/>
        <item x="26"/>
        <item x="104"/>
        <item x="68"/>
        <item x="3"/>
        <item x="74"/>
        <item x="84"/>
        <item x="7"/>
        <item x="44"/>
        <item x="135"/>
        <item x="21"/>
        <item x="22"/>
        <item x="46"/>
        <item x="47"/>
        <item x="58"/>
        <item x="79"/>
        <item x="34"/>
        <item x="131"/>
        <item x="93"/>
        <item x="132"/>
        <item x="2"/>
        <item x="0"/>
        <item x="129"/>
        <item x="67"/>
        <item x="4"/>
        <item x="25"/>
        <item x="105"/>
        <item x="124"/>
        <item x="136"/>
        <item x="61"/>
        <item x="66"/>
        <item x="51"/>
        <item x="54"/>
        <item x="1"/>
        <item x="107"/>
        <item x="59"/>
        <item x="86"/>
        <item x="62"/>
        <item x="63"/>
        <item x="92"/>
        <item x="97"/>
        <item x="55"/>
        <item x="113"/>
        <item x="53"/>
        <item x="99"/>
        <item x="24"/>
        <item x="123"/>
        <item x="87"/>
        <item x="100"/>
        <item x="125"/>
        <item x="32"/>
        <item x="45"/>
        <item x="121"/>
        <item x="49"/>
        <item x="94"/>
        <item x="17"/>
        <item x="73"/>
        <item x="78"/>
        <item x="72"/>
        <item x="12"/>
        <item x="127"/>
        <item x="71"/>
        <item x="110"/>
        <item x="9"/>
        <item x="102"/>
        <item x="75"/>
        <item x="119"/>
        <item x="112"/>
        <item x="128"/>
        <item x="108"/>
        <item x="118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Nome - Responsável" axis="axisRow" compact="0" outline="0" multipleItemSelectionAllowed="1" showAll="0" sortType="ascending" defaultSubtotal="0">
      <items>
        <item x="63"/>
        <item x="58"/>
        <item x="62"/>
        <item x="0"/>
        <item x="10"/>
        <item x="132"/>
        <item x="12"/>
        <item x="4"/>
        <item x="5"/>
        <item x="7"/>
        <item x="118"/>
        <item x="9"/>
        <item x="83"/>
        <item x="19"/>
        <item x="52"/>
        <item x="18"/>
        <item x="119"/>
        <item x="22"/>
        <item x="24"/>
        <item x="15"/>
        <item x="107"/>
        <item x="84"/>
        <item x="122"/>
        <item x="26"/>
        <item x="27"/>
        <item x="134"/>
        <item x="86"/>
        <item x="114"/>
        <item x="34"/>
        <item x="25"/>
        <item x="51"/>
        <item x="31"/>
        <item x="115"/>
        <item x="38"/>
        <item x="37"/>
        <item x="135"/>
        <item x="104"/>
        <item x="69"/>
        <item x="64"/>
        <item x="105"/>
        <item x="50"/>
        <item x="57"/>
        <item x="103"/>
        <item x="45"/>
        <item x="46"/>
        <item x="49"/>
        <item x="127"/>
        <item x="74"/>
        <item x="53"/>
        <item x="124"/>
        <item x="68"/>
        <item x="56"/>
        <item x="123"/>
        <item x="65"/>
        <item x="3"/>
        <item x="61"/>
        <item x="59"/>
        <item x="76"/>
        <item x="66"/>
        <item x="67"/>
        <item x="33"/>
        <item x="1"/>
        <item x="94"/>
        <item x="48"/>
        <item x="72"/>
        <item x="8"/>
        <item x="73"/>
        <item x="111"/>
        <item x="112"/>
        <item x="117"/>
        <item x="80"/>
        <item x="44"/>
        <item x="54"/>
        <item x="60"/>
        <item x="87"/>
        <item x="88"/>
        <item x="16"/>
        <item x="78"/>
        <item x="91"/>
        <item x="35"/>
        <item x="93"/>
        <item x="95"/>
        <item x="96"/>
        <item x="40"/>
        <item x="6"/>
        <item x="131"/>
        <item x="32"/>
        <item x="99"/>
        <item x="100"/>
        <item x="101"/>
        <item x="102"/>
        <item x="70"/>
        <item x="75"/>
        <item x="42"/>
        <item x="106"/>
        <item x="108"/>
        <item x="109"/>
        <item x="11"/>
        <item x="2"/>
        <item x="28"/>
        <item x="113"/>
        <item x="121"/>
        <item x="128"/>
        <item x="21"/>
        <item x="82"/>
        <item x="89"/>
        <item x="98"/>
        <item x="30"/>
        <item x="129"/>
        <item x="130"/>
        <item x="41"/>
        <item x="97"/>
        <item x="79"/>
        <item x="136"/>
        <item x="77"/>
        <item x="137"/>
        <item x="126"/>
        <item x="85"/>
        <item x="81"/>
        <item x="71"/>
        <item x="125"/>
        <item x="39"/>
        <item x="13"/>
        <item x="92"/>
        <item x="120"/>
        <item x="36"/>
        <item x="133"/>
        <item x="29"/>
        <item x="116"/>
        <item x="90"/>
        <item x="14"/>
        <item x="23"/>
        <item x="20"/>
        <item x="17"/>
        <item x="47"/>
        <item x="110"/>
        <item x="55"/>
        <item x="43"/>
      </items>
    </pivotField>
    <pivotField name="Estagiário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a - 1ª sessã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Data - F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ata - devolut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-mail - 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CPF -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Dia/Hor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  <field x="3"/>
    <field x="11"/>
    <field x="9"/>
  </rowFields>
  <pageFields>
    <pageField fld="7"/>
  </pageFields>
</pivotTableDefinition>
</file>

<file path=xl/pivotTables/pivotTable5.xml><?xml version="1.0" encoding="utf-8"?>
<pivotTableDefinition xmlns="http://schemas.openxmlformats.org/spreadsheetml/2006/main" name="Laudos a entregar" cacheId="0" dataCaption="" compact="0" compactData="0">
  <location ref="A3:E18" firstHeaderRow="0" firstDataRow="4" firstDataCol="0" rowPageCount="1" colPageCount="1"/>
  <pivotFields>
    <pivotField name="Nome" axis="axisRow" dataField="1" compact="0" outline="0" multipleItemSelectionAllowed="1" showAll="0" sortType="ascending" defaultSubtotal="0">
      <items>
        <item x="0"/>
        <item x="137"/>
        <item x="3"/>
        <item x="4"/>
        <item x="5"/>
        <item x="6"/>
        <item x="7"/>
        <item x="123"/>
        <item x="9"/>
        <item x="10"/>
        <item x="11"/>
        <item x="67"/>
        <item x="12"/>
        <item x="96"/>
        <item x="15"/>
        <item x="16"/>
        <item x="56"/>
        <item x="18"/>
        <item x="19"/>
        <item x="12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3"/>
        <item x="40"/>
        <item x="41"/>
        <item x="108"/>
        <item x="138"/>
        <item x="45"/>
        <item x="46"/>
        <item x="47"/>
        <item x="48"/>
        <item x="50"/>
        <item x="83"/>
        <item x="52"/>
        <item x="53"/>
        <item x="54"/>
        <item x="55"/>
        <item x="132"/>
        <item x="57"/>
        <item x="58"/>
        <item x="59"/>
        <item x="60"/>
        <item x="61"/>
        <item x="62"/>
        <item x="1"/>
        <item x="65"/>
        <item x="20"/>
        <item x="66"/>
        <item x="44"/>
        <item x="63"/>
        <item x="69"/>
        <item x="70"/>
        <item x="71"/>
        <item x="116"/>
        <item x="73"/>
        <item x="74"/>
        <item x="76"/>
        <item x="77"/>
        <item x="78"/>
        <item x="79"/>
        <item x="80"/>
        <item x="81"/>
        <item x="82"/>
        <item x="14"/>
        <item x="84"/>
        <item x="86"/>
        <item x="87"/>
        <item x="88"/>
        <item x="89"/>
        <item x="64"/>
        <item x="91"/>
        <item x="92"/>
        <item x="93"/>
        <item x="94"/>
        <item x="95"/>
        <item x="4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68"/>
        <item x="109"/>
        <item x="110"/>
        <item x="111"/>
        <item x="112"/>
        <item x="113"/>
        <item x="114"/>
        <item x="115"/>
        <item x="2"/>
        <item x="117"/>
        <item x="118"/>
        <item x="119"/>
        <item x="90"/>
        <item x="121"/>
        <item x="122"/>
        <item x="8"/>
        <item x="125"/>
        <item x="126"/>
        <item x="127"/>
        <item x="128"/>
        <item x="129"/>
        <item x="85"/>
        <item x="131"/>
        <item x="133"/>
        <item x="134"/>
        <item x="135"/>
        <item x="136"/>
        <item x="49"/>
        <item x="72"/>
        <item x="139"/>
        <item x="140"/>
        <item x="141"/>
        <item x="142"/>
        <item x="120"/>
        <item x="75"/>
        <item x="130"/>
        <item x="13"/>
        <item x="17"/>
        <item x="51"/>
        <item x="39"/>
      </items>
    </pivotField>
    <pivotField name="Pa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Amanda/Yuri" compact="0" outline="0" multipleItemSelectionAllowed="1" showAll="0">
      <items>
        <item x="0"/>
        <item x="1"/>
        <item x="2"/>
        <item x="3"/>
        <item t="default"/>
      </items>
    </pivotField>
    <pivotField name="DN - Paciente" axis="axisRow" compact="0" numFmtId="14" outline="0" multipleItemSelectionAllowed="1" showAll="0" sortType="ascending" defaultSubtotal="0">
      <items>
        <item x="2"/>
        <item x="132"/>
        <item x="122"/>
        <item x="113"/>
        <item x="74"/>
        <item x="17"/>
        <item x="27"/>
        <item x="0"/>
        <item x="50"/>
        <item x="49"/>
        <item x="75"/>
        <item x="9"/>
        <item x="115"/>
        <item x="26"/>
        <item x="136"/>
        <item x="24"/>
        <item x="104"/>
        <item x="22"/>
        <item x="100"/>
        <item x="125"/>
        <item x="13"/>
        <item x="46"/>
        <item x="131"/>
        <item x="92"/>
        <item x="103"/>
        <item x="112"/>
        <item x="37"/>
        <item x="32"/>
        <item x="106"/>
        <item x="141"/>
        <item x="140"/>
        <item x="31"/>
        <item x="133"/>
        <item x="5"/>
        <item x="97"/>
        <item x="7"/>
        <item x="134"/>
        <item x="38"/>
        <item x="76"/>
        <item x="59"/>
        <item x="105"/>
        <item x="69"/>
        <item x="99"/>
        <item x="52"/>
        <item x="6"/>
        <item x="123"/>
        <item x="21"/>
        <item x="129"/>
        <item x="64"/>
        <item x="28"/>
        <item x="70"/>
        <item x="91"/>
        <item x="4"/>
        <item x="18"/>
        <item x="63"/>
        <item x="45"/>
        <item x="116"/>
        <item x="30"/>
        <item x="33"/>
        <item x="51"/>
        <item x="94"/>
        <item x="85"/>
        <item x="124"/>
        <item x="34"/>
        <item x="95"/>
        <item x="81"/>
        <item x="20"/>
        <item x="139"/>
        <item x="119"/>
        <item x="130"/>
        <item x="137"/>
        <item x="98"/>
        <item x="44"/>
        <item x="73"/>
        <item x="65"/>
        <item x="60"/>
        <item x="126"/>
        <item x="54"/>
        <item x="120"/>
        <item x="107"/>
        <item x="29"/>
        <item x="56"/>
        <item x="101"/>
        <item x="87"/>
        <item x="25"/>
        <item x="67"/>
        <item x="58"/>
        <item x="114"/>
        <item x="89"/>
        <item x="117"/>
        <item x="47"/>
        <item x="127"/>
        <item x="57"/>
        <item x="10"/>
        <item x="14"/>
        <item x="55"/>
        <item x="88"/>
        <item x="68"/>
        <item x="41"/>
        <item x="118"/>
        <item x="108"/>
        <item x="15"/>
        <item x="3"/>
        <item x="138"/>
        <item x="48"/>
        <item x="80"/>
        <item x="39"/>
        <item x="19"/>
        <item x="84"/>
        <item x="11"/>
        <item x="78"/>
        <item x="96"/>
        <item x="36"/>
        <item x="66"/>
        <item x="90"/>
        <item x="16"/>
        <item x="40"/>
        <item x="43"/>
        <item x="53"/>
        <item x="111"/>
        <item x="79"/>
        <item x="77"/>
        <item x="102"/>
        <item x="109"/>
        <item x="62"/>
        <item x="121"/>
        <item x="35"/>
        <item x="23"/>
        <item x="128"/>
        <item x="93"/>
        <item x="12"/>
        <item x="72"/>
        <item x="86"/>
        <item x="82"/>
        <item x="8"/>
        <item x="61"/>
        <item x="83"/>
        <item x="1"/>
        <item x="135"/>
        <item x="71"/>
        <item x="42"/>
        <item x="110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namne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Lau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Ativo ou inativo" compact="0" outline="0" multipleItemSelectionAllowed="1" showAll="0">
      <items>
        <item x="0"/>
        <item x="1"/>
        <item t="default"/>
      </items>
    </pivotField>
    <pivotField name="Telefone - 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Nome - Responsável" axis="axisRow" compact="0" outline="0" multipleItemSelectionAllowed="1" showAll="0" sortType="ascending" defaultSubtotal="0">
      <items>
        <item x="63"/>
        <item x="58"/>
        <item x="62"/>
        <item x="0"/>
        <item x="10"/>
        <item x="132"/>
        <item x="12"/>
        <item x="4"/>
        <item x="5"/>
        <item x="7"/>
        <item x="118"/>
        <item x="9"/>
        <item x="83"/>
        <item x="19"/>
        <item x="52"/>
        <item x="18"/>
        <item x="119"/>
        <item x="22"/>
        <item x="24"/>
        <item x="15"/>
        <item x="107"/>
        <item x="84"/>
        <item x="122"/>
        <item x="26"/>
        <item x="27"/>
        <item x="134"/>
        <item x="86"/>
        <item x="114"/>
        <item x="34"/>
        <item x="25"/>
        <item x="51"/>
        <item x="31"/>
        <item x="115"/>
        <item x="38"/>
        <item x="37"/>
        <item x="135"/>
        <item x="104"/>
        <item x="69"/>
        <item x="64"/>
        <item x="105"/>
        <item x="50"/>
        <item x="57"/>
        <item x="103"/>
        <item x="45"/>
        <item x="46"/>
        <item x="49"/>
        <item x="127"/>
        <item x="74"/>
        <item x="53"/>
        <item x="124"/>
        <item x="68"/>
        <item x="56"/>
        <item x="123"/>
        <item x="65"/>
        <item x="3"/>
        <item x="61"/>
        <item x="59"/>
        <item x="76"/>
        <item x="66"/>
        <item x="67"/>
        <item x="33"/>
        <item x="1"/>
        <item x="94"/>
        <item x="48"/>
        <item x="72"/>
        <item x="8"/>
        <item x="73"/>
        <item x="111"/>
        <item x="112"/>
        <item x="117"/>
        <item x="80"/>
        <item x="44"/>
        <item x="54"/>
        <item x="60"/>
        <item x="87"/>
        <item x="88"/>
        <item x="16"/>
        <item x="78"/>
        <item x="91"/>
        <item x="35"/>
        <item x="93"/>
        <item x="95"/>
        <item x="96"/>
        <item x="40"/>
        <item x="6"/>
        <item x="131"/>
        <item x="32"/>
        <item x="99"/>
        <item x="100"/>
        <item x="101"/>
        <item x="102"/>
        <item x="70"/>
        <item x="75"/>
        <item x="42"/>
        <item x="106"/>
        <item x="108"/>
        <item x="109"/>
        <item x="11"/>
        <item x="2"/>
        <item x="28"/>
        <item x="113"/>
        <item x="121"/>
        <item x="128"/>
        <item x="21"/>
        <item x="82"/>
        <item x="89"/>
        <item x="98"/>
        <item x="30"/>
        <item x="129"/>
        <item x="130"/>
        <item x="41"/>
        <item x="97"/>
        <item x="79"/>
        <item x="136"/>
        <item x="77"/>
        <item x="137"/>
        <item x="126"/>
        <item x="85"/>
        <item x="81"/>
        <item x="71"/>
        <item x="125"/>
        <item x="39"/>
        <item x="13"/>
        <item x="92"/>
        <item x="120"/>
        <item x="36"/>
        <item x="133"/>
        <item x="29"/>
        <item x="116"/>
        <item x="90"/>
        <item x="14"/>
        <item x="23"/>
        <item x="20"/>
        <item x="17"/>
        <item x="47"/>
        <item x="110"/>
        <item x="55"/>
        <item x="43"/>
      </items>
    </pivotField>
    <pivotField name="Estagiário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a - 1ª sessão" axis="axisRow" compact="0" numFmtId="164" outline="0" multipleItemSelectionAllowed="1" showAll="0" sortType="ascending">
      <items>
        <item x="1"/>
        <item x="10"/>
        <item x="77"/>
        <item x="53"/>
        <item x="24"/>
        <item x="63"/>
        <item x="48"/>
        <item x="79"/>
        <item x="29"/>
        <item x="71"/>
        <item x="70"/>
        <item x="45"/>
        <item x="74"/>
        <item x="26"/>
        <item x="3"/>
        <item x="69"/>
        <item x="31"/>
        <item x="37"/>
        <item x="43"/>
        <item x="34"/>
        <item x="23"/>
        <item x="11"/>
        <item x="28"/>
        <item x="25"/>
        <item x="61"/>
        <item x="83"/>
        <item x="33"/>
        <item x="9"/>
        <item x="89"/>
        <item x="32"/>
        <item x="36"/>
        <item x="27"/>
        <item x="6"/>
        <item x="54"/>
        <item x="85"/>
        <item x="76"/>
        <item x="58"/>
        <item x="95"/>
        <item x="2"/>
        <item x="50"/>
        <item x="41"/>
        <item x="91"/>
        <item x="80"/>
        <item x="56"/>
        <item x="18"/>
        <item x="17"/>
        <item x="57"/>
        <item x="60"/>
        <item x="67"/>
        <item x="22"/>
        <item x="47"/>
        <item x="8"/>
        <item x="73"/>
        <item x="46"/>
        <item x="12"/>
        <item x="65"/>
        <item x="21"/>
        <item x="13"/>
        <item x="4"/>
        <item x="59"/>
        <item x="75"/>
        <item x="5"/>
        <item x="20"/>
        <item x="0"/>
        <item x="7"/>
        <item x="81"/>
        <item x="66"/>
        <item x="14"/>
        <item x="16"/>
        <item x="88"/>
        <item x="19"/>
        <item x="92"/>
        <item x="35"/>
        <item x="38"/>
        <item x="15"/>
        <item x="39"/>
        <item x="40"/>
        <item x="42"/>
        <item x="44"/>
        <item x="30"/>
        <item x="49"/>
        <item x="51"/>
        <item x="52"/>
        <item x="55"/>
        <item x="62"/>
        <item x="64"/>
        <item x="68"/>
        <item x="72"/>
        <item x="78"/>
        <item x="82"/>
        <item x="84"/>
        <item x="86"/>
        <item x="87"/>
        <item x="90"/>
        <item x="93"/>
        <item x="94"/>
        <item t="default"/>
      </items>
    </pivotField>
    <pivotField name="Data - F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ata - devolut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-mail - 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CPF - 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Dia/Hor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  <field x="3"/>
    <field x="11"/>
    <field x="13"/>
  </rowFields>
  <pageFields>
    <pageField fld="7"/>
  </pageFields>
  <dataFields>
    <dataField name="COUNTA of Nom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kGorDW_Cxld08CLZJgeE5P080cSwQmm-?usp=drive_link" TargetMode="External"/><Relationship Id="rId190" Type="http://schemas.openxmlformats.org/officeDocument/2006/relationships/hyperlink" Target="https://docs.google.com/document/d/19ghI4dKf6bAeEj80nmPQLAHIQ6W3HU8Y/edit?usp=drive_link&amp;ouid=113810406368108601541&amp;rtpof=true&amp;sd=true" TargetMode="External"/><Relationship Id="rId42" Type="http://schemas.openxmlformats.org/officeDocument/2006/relationships/hyperlink" Target="https://drive.google.com/drive/folders/1xKPQOCeiW3EhAgu5QnmXRiUnw3k_Ftgo?usp=drive_link" TargetMode="External"/><Relationship Id="rId41" Type="http://schemas.openxmlformats.org/officeDocument/2006/relationships/hyperlink" Target="https://docs.google.com/document/d/16ZTkT71pKBlaNwu7kjTaATZlr7BoIzeb/edit?usp=drive_link&amp;ouid=113810406368108601541&amp;rtpof=true&amp;sd=true" TargetMode="External"/><Relationship Id="rId44" Type="http://schemas.openxmlformats.org/officeDocument/2006/relationships/hyperlink" Target="https://docs.google.com/document/d/1HPxzpi7k3Ts5Evq14zaYsWae1lA7hzqx/edit?usp=drive_link&amp;ouid=113810406368108601541&amp;rtpof=true&amp;sd=true" TargetMode="External"/><Relationship Id="rId194" Type="http://schemas.openxmlformats.org/officeDocument/2006/relationships/hyperlink" Target="https://drive.google.com/drive/folders/19tJun_sAUP6LMK_4MYQISPC3-soYfT0g?usp=drive_link" TargetMode="External"/><Relationship Id="rId43" Type="http://schemas.openxmlformats.org/officeDocument/2006/relationships/hyperlink" Target="https://docs.google.com/document/d/1vtl27RLz0cBbW5Y92YsQd0U8vsuvM_iD/edit?usp=drive_link&amp;ouid=113810406368108601541&amp;rtpof=true&amp;sd=true" TargetMode="External"/><Relationship Id="rId193" Type="http://schemas.openxmlformats.org/officeDocument/2006/relationships/hyperlink" Target="https://docs.google.com/document/d/13xcmzpdnF6vbsr0qYACtD-HzIL7PIDlZ/edit?usp=drive_link&amp;ouid=113810406368108601541&amp;rtpof=true&amp;sd=true" TargetMode="External"/><Relationship Id="rId46" Type="http://schemas.openxmlformats.org/officeDocument/2006/relationships/hyperlink" Target="https://docs.google.com/document/d/1gvXJ_YhhALrcKuvM62RMClmPsqWaqgPJ/edit?usp=drive_link&amp;ouid=102226612879501704230&amp;rtpof=true&amp;sd=true" TargetMode="External"/><Relationship Id="rId192" Type="http://schemas.openxmlformats.org/officeDocument/2006/relationships/hyperlink" Target="https://drive.google.com/drive/folders/1na9oR4LfMHz8cdGkeU32kkHzwjngOqeE?usp=drive_link" TargetMode="External"/><Relationship Id="rId45" Type="http://schemas.openxmlformats.org/officeDocument/2006/relationships/hyperlink" Target="https://drive.google.com/drive/folders/1cYNkjSeZr3OpGNOY8ffLzS-5AleKtDYq?usp=drive_link" TargetMode="External"/><Relationship Id="rId191" Type="http://schemas.openxmlformats.org/officeDocument/2006/relationships/hyperlink" Target="https://drive.google.com/drive/folders/1saVfjygs617PKYCpB_rEaT_8Zn0K5UGb?usp=drive_link" TargetMode="External"/><Relationship Id="rId48" Type="http://schemas.openxmlformats.org/officeDocument/2006/relationships/hyperlink" Target="https://docs.google.com/document/d/1KIgvXqoLi3unJhbNkAfE_U7aDpEoQ9ed/edit?usp=drive_link&amp;ouid=102226612879501704230&amp;rtpof=true&amp;sd=true" TargetMode="External"/><Relationship Id="rId187" Type="http://schemas.openxmlformats.org/officeDocument/2006/relationships/hyperlink" Target="https://docs.google.com/document/d/11J4twmaoOgEv7PBeAzvrOzroBpNmXLXv/edit?usp=drive_link&amp;ouid=113810406368108601541&amp;rtpof=true&amp;sd=true" TargetMode="External"/><Relationship Id="rId47" Type="http://schemas.openxmlformats.org/officeDocument/2006/relationships/hyperlink" Target="https://drive.google.com/drive/folders/1ReV1xZ3EdNQXAY-O_1Ud726vXf8qZWaF?usp=drive_link" TargetMode="External"/><Relationship Id="rId186" Type="http://schemas.openxmlformats.org/officeDocument/2006/relationships/hyperlink" Target="https://drive.google.com/drive/folders/1SODXm39c_-2IURCVfTc1srZ5koAgY2zW?usp=drive_link" TargetMode="External"/><Relationship Id="rId185" Type="http://schemas.openxmlformats.org/officeDocument/2006/relationships/hyperlink" Target="https://docs.google.com/document/d/1ay1zppG-efsjIHugxsUFSfLF5Ibs4MC_/edit?usp=drive_link&amp;ouid=102226612879501704230&amp;rtpof=true&amp;sd=true" TargetMode="External"/><Relationship Id="rId49" Type="http://schemas.openxmlformats.org/officeDocument/2006/relationships/hyperlink" Target="https://drive.google.com/drive/folders/1wM8WXWKo6fxEZ4YkdqjAgKw1khZmZ0P2?usp=drive_link" TargetMode="External"/><Relationship Id="rId184" Type="http://schemas.openxmlformats.org/officeDocument/2006/relationships/hyperlink" Target="https://drive.google.com/drive/folders/1lrg_C1i-5SDX01qFHiTtDfhjpJp8U2PE?usp=drive_link" TargetMode="External"/><Relationship Id="rId189" Type="http://schemas.openxmlformats.org/officeDocument/2006/relationships/hyperlink" Target="https://docs.google.com/document/d/1QFo2Zfcc2lqSkA3LL1x8hcx7RS_DozbAuWFQpoaexTg/edit?usp=drive_link" TargetMode="External"/><Relationship Id="rId188" Type="http://schemas.openxmlformats.org/officeDocument/2006/relationships/hyperlink" Target="https://drive.google.com/drive/folders/1-y0PelCxlv8hwJ3HN_BeOlEIGCEaG1b5?usp=drive_link" TargetMode="External"/><Relationship Id="rId31" Type="http://schemas.openxmlformats.org/officeDocument/2006/relationships/hyperlink" Target="https://drive.google.com/drive/folders/1RGdLHgFjD30wr8aNcLBuMwiM0i_qjVny?usp=drive_link" TargetMode="External"/><Relationship Id="rId30" Type="http://schemas.openxmlformats.org/officeDocument/2006/relationships/hyperlink" Target="https://drive.google.com/drive/folders/1ulbM7gYxS1WZIbb4KXXqkUssc17yytXe?usp=drive_link" TargetMode="External"/><Relationship Id="rId33" Type="http://schemas.openxmlformats.org/officeDocument/2006/relationships/hyperlink" Target="https://docs.google.com/document/d/1N1UA3Z-qU6t-xRweqw1XD8a-A-6HsROO/edit?usp=drive_link&amp;ouid=113810406368108601541&amp;rtpof=true&amp;sd=true" TargetMode="External"/><Relationship Id="rId183" Type="http://schemas.openxmlformats.org/officeDocument/2006/relationships/hyperlink" Target="https://drive.google.com/drive/folders/1wCu_IPzhjBZmdBqLkAI_5Bz4iqy69Xso?usp=drive_link" TargetMode="External"/><Relationship Id="rId32" Type="http://schemas.openxmlformats.org/officeDocument/2006/relationships/hyperlink" Target="https://docs.google.com/document/d/1sb1Frve4sPYijgDagFqsSy_fqdqgOJH0/edit?usp=drive_link&amp;ouid=113810406368108601541&amp;rtpof=true&amp;sd=true" TargetMode="External"/><Relationship Id="rId182" Type="http://schemas.openxmlformats.org/officeDocument/2006/relationships/hyperlink" Target="https://docs.google.com/document/d/1K_1EAcmVnqR8pF4xs4t-6x2GNPtRb_8X/edit?usp=drive_link&amp;ouid=113810406368108601541&amp;rtpof=true&amp;sd=true" TargetMode="External"/><Relationship Id="rId35" Type="http://schemas.openxmlformats.org/officeDocument/2006/relationships/hyperlink" Target="https://docs.google.com/document/d/1m2Mk1Ot5DAl3scK_cWy03burfS07xRKE/edit?usp=drive_link&amp;ouid=113810406368108601541&amp;rtpof=true&amp;sd=true" TargetMode="External"/><Relationship Id="rId181" Type="http://schemas.openxmlformats.org/officeDocument/2006/relationships/hyperlink" Target="https://drive.google.com/drive/folders/1ylxk2kFJkaeAicxsOxpPDIHXnXVUw50Q?usp=drive_link" TargetMode="External"/><Relationship Id="rId34" Type="http://schemas.openxmlformats.org/officeDocument/2006/relationships/hyperlink" Target="https://drive.google.com/drive/folders/1G5e2A6IF59Ef-Ym2itF6FmoSDLOs-zpl?usp=drive_link" TargetMode="External"/><Relationship Id="rId180" Type="http://schemas.openxmlformats.org/officeDocument/2006/relationships/hyperlink" Target="https://drive.google.com/drive/folders/1yUHeneWUB0T_JGe6-ocXJFJhs39PXxV9?usp=sharing" TargetMode="External"/><Relationship Id="rId37" Type="http://schemas.openxmlformats.org/officeDocument/2006/relationships/hyperlink" Target="https://drive.google.com/drive/folders/1ziTqZCiO0RVskseoo3SX5E13-NhC1NyW?usp=drive_link" TargetMode="External"/><Relationship Id="rId176" Type="http://schemas.openxmlformats.org/officeDocument/2006/relationships/hyperlink" Target="https://docs.google.com/document/d/18tFOMyDTUa5vIvflNesqEP-AVFSJs_8R/edit?usp=drive_link&amp;ouid=113810406368108601541&amp;rtpof=true&amp;sd=true" TargetMode="External"/><Relationship Id="rId297" Type="http://schemas.openxmlformats.org/officeDocument/2006/relationships/hyperlink" Target="https://docs.google.com/document/d/1BQpxG29jZ_B9TdEQjdQzc0VipLmvJisaUD8f4FqtPz0/edit?usp=drive_link" TargetMode="External"/><Relationship Id="rId36" Type="http://schemas.openxmlformats.org/officeDocument/2006/relationships/hyperlink" Target="https://docs.google.com/document/d/1RvwF1GJP0N9gDsplQRum_Vdtj8fEHBim/edit?usp=drive_link&amp;ouid=113810406368108601541&amp;rtpof=true&amp;sd=true" TargetMode="External"/><Relationship Id="rId175" Type="http://schemas.openxmlformats.org/officeDocument/2006/relationships/hyperlink" Target="https://docs.google.com/document/d/1OgYsFlBAOkoPL4MIqDw9U2HZL614U3ux/edit?usp=drive_link&amp;ouid=113810406368108601541&amp;rtpof=true&amp;sd=true" TargetMode="External"/><Relationship Id="rId296" Type="http://schemas.openxmlformats.org/officeDocument/2006/relationships/hyperlink" Target="https://drive.google.com/drive/folders/1nSGTyhbYLkXUQO_Fz-uzXQgF5t-vhYFv?usp=drive_link" TargetMode="External"/><Relationship Id="rId39" Type="http://schemas.openxmlformats.org/officeDocument/2006/relationships/hyperlink" Target="https://docs.google.com/document/d/1WDUJvq0bOgOYaOA0nVrdDLGv3wAisuCb/edit?usp=drive_link&amp;ouid=113810406368108601541&amp;rtpof=true&amp;sd=true" TargetMode="External"/><Relationship Id="rId174" Type="http://schemas.openxmlformats.org/officeDocument/2006/relationships/hyperlink" Target="https://drive.google.com/drive/folders/1PEENsPhfaOWT87Q_oNrKVts3tu-alzNF?usp=drive_link" TargetMode="External"/><Relationship Id="rId295" Type="http://schemas.openxmlformats.org/officeDocument/2006/relationships/hyperlink" Target="https://docs.google.com/document/d/1s755JhEk-v6l5X4bfYIEl1wlZed8XPwr/edit?usp=drive_link&amp;ouid=113810406368108601541&amp;rtpof=true&amp;sd=true" TargetMode="External"/><Relationship Id="rId38" Type="http://schemas.openxmlformats.org/officeDocument/2006/relationships/hyperlink" Target="https://docs.google.com/document/d/1LFKepVGmqXxZ1RRVrfxrRpO0lCtJ-fTZ/edit?usp=drive_link&amp;ouid=113810406368108601541&amp;rtpof=true&amp;sd=true" TargetMode="External"/><Relationship Id="rId173" Type="http://schemas.openxmlformats.org/officeDocument/2006/relationships/hyperlink" Target="https://docs.google.com/document/d/17NvrO6QByqN2YKuNdrCUnKy5j6hYjNR_/edit?usp=drive_link&amp;ouid=113810406368108601541&amp;rtpof=true&amp;sd=true" TargetMode="External"/><Relationship Id="rId294" Type="http://schemas.openxmlformats.org/officeDocument/2006/relationships/hyperlink" Target="https://drive.google.com/file/d/1K6vBkBDaR1R9OAFpexbpXHnKrgc-EEdZ/view?usp=drive_link" TargetMode="External"/><Relationship Id="rId179" Type="http://schemas.openxmlformats.org/officeDocument/2006/relationships/hyperlink" Target="https://docs.google.com/document/d/1TOUADo9SvdtMimMbDWeHL9Hfz3fyQW5Y/edit?usp=drive_link&amp;ouid=113810406368108601541&amp;rtpof=true&amp;sd=true" TargetMode="External"/><Relationship Id="rId178" Type="http://schemas.openxmlformats.org/officeDocument/2006/relationships/hyperlink" Target="https://docs.google.com/document/d/1oIJz5gdPI86JQ_vF25lguskYllOxTeGF/edit?usp=drive_link&amp;ouid=113810406368108601541&amp;rtpof=true&amp;sd=true" TargetMode="External"/><Relationship Id="rId299" Type="http://schemas.openxmlformats.org/officeDocument/2006/relationships/hyperlink" Target="https://drive.google.com/drive/folders/1SroMpZy9E6m0TugYep_d4F-vXPn-p4Jr?usp=drive_link" TargetMode="External"/><Relationship Id="rId177" Type="http://schemas.openxmlformats.org/officeDocument/2006/relationships/hyperlink" Target="https://drive.google.com/drive/folders/175Fr0it1ERop3JFw7boBoRFEwT3jpndA?usp=drive_link" TargetMode="External"/><Relationship Id="rId298" Type="http://schemas.openxmlformats.org/officeDocument/2006/relationships/hyperlink" Target="https://docs.google.com/document/d/1iYKVWqg0JkPYQr6rHIx6gKmkYof34hx2/edit?usp=drive_link&amp;ouid=113810406368108601541&amp;rtpof=true&amp;sd=true" TargetMode="External"/><Relationship Id="rId20" Type="http://schemas.openxmlformats.org/officeDocument/2006/relationships/hyperlink" Target="https://docs.google.com/document/d/1FTj8intYNWFFXJq1DbdJldu4EKMiQTM6/edit?usp=drive_link&amp;ouid=113810406368108601541&amp;rtpof=true&amp;sd=true" TargetMode="External"/><Relationship Id="rId22" Type="http://schemas.openxmlformats.org/officeDocument/2006/relationships/hyperlink" Target="https://docs.google.com/document/d/1pGg8IBaJOo1e3vbms9ckoxVcVV9yKRW0/edit?usp=drive_link&amp;ouid=113810406368108601541&amp;rtpof=true&amp;sd=true" TargetMode="External"/><Relationship Id="rId21" Type="http://schemas.openxmlformats.org/officeDocument/2006/relationships/hyperlink" Target="https://drive.google.com/drive/folders/16mid118yX6IMdLq_IJbwA6-LKNWGGnen?usp=drive_link" TargetMode="External"/><Relationship Id="rId24" Type="http://schemas.openxmlformats.org/officeDocument/2006/relationships/hyperlink" Target="https://drive.google.com/drive/folders/1ogYc3QFaYR5ZzjlvanOH5J5JdCzU9nHt?usp=drive_link" TargetMode="External"/><Relationship Id="rId23" Type="http://schemas.openxmlformats.org/officeDocument/2006/relationships/hyperlink" Target="https://docs.google.com/document/d/1JvcYCw6UINI5pWfvPBx81FVdCxAF6FlU/edit?usp=drive_link&amp;ouid=113810406368108601541&amp;rtpof=true&amp;sd=true" TargetMode="External"/><Relationship Id="rId26" Type="http://schemas.openxmlformats.org/officeDocument/2006/relationships/hyperlink" Target="https://drive.google.com/drive/folders/1UqFf03ZNKLFkOBciJaWtSidiEIPshjlL?usp=drive_link" TargetMode="External"/><Relationship Id="rId25" Type="http://schemas.openxmlformats.org/officeDocument/2006/relationships/hyperlink" Target="https://docs.google.com/document/d/1K5VSXiV9ZbUvr5H4miLiE7EjSxpVbGOf/edit?usp=drive_link&amp;ouid=113810406368108601541&amp;rtpof=true&amp;sd=true" TargetMode="External"/><Relationship Id="rId28" Type="http://schemas.openxmlformats.org/officeDocument/2006/relationships/hyperlink" Target="https://docs.google.com/document/d/1vTsGlzSeQNhrM0FDHAhv1Q9Nl5iGQDib/edit?usp=drive_link&amp;ouid=113810406368108601541&amp;rtpof=true&amp;sd=true" TargetMode="External"/><Relationship Id="rId27" Type="http://schemas.openxmlformats.org/officeDocument/2006/relationships/hyperlink" Target="https://docs.google.com/document/d/1OHwsxdjgabXxSdV15-T22kEXU--IebQM/edit?usp=drive_link&amp;ouid=113810406368108601541&amp;rtpof=true&amp;sd=true" TargetMode="External"/><Relationship Id="rId29" Type="http://schemas.openxmlformats.org/officeDocument/2006/relationships/hyperlink" Target="https://drive.google.com/drive/folders/1MXhtj-s9VMvEWQvnukwIgVmTJa68xr-0?usp=drive_link" TargetMode="External"/><Relationship Id="rId11" Type="http://schemas.openxmlformats.org/officeDocument/2006/relationships/hyperlink" Target="https://docs.google.com/document/d/1fpRtSEReZ-bpdrIGi8YpTfR1of4IM_Fi4gFQiyby6Ww/edit?usp=drive_link" TargetMode="External"/><Relationship Id="rId10" Type="http://schemas.openxmlformats.org/officeDocument/2006/relationships/hyperlink" Target="https://drive.google.com/drive/folders/1bmL1L0Il5Q3SLFkF4iTa9z_-ii-y5PSZ?usp=drive_link" TargetMode="External"/><Relationship Id="rId13" Type="http://schemas.openxmlformats.org/officeDocument/2006/relationships/hyperlink" Target="https://drive.google.com/drive/folders/1NDhZcTeBfVwZ8cllIkTIdwpyCsVHRnhB?usp=drive_link" TargetMode="External"/><Relationship Id="rId12" Type="http://schemas.openxmlformats.org/officeDocument/2006/relationships/hyperlink" Target="https://docs.google.com/document/d/1tDlAe_yHd8z6uQMwNoqM7bN1w2AdNqxe/edit?usp=drive_link&amp;ouid=102226612879501704230&amp;rtpof=true&amp;sd=true" TargetMode="External"/><Relationship Id="rId15" Type="http://schemas.openxmlformats.org/officeDocument/2006/relationships/hyperlink" Target="https://drive.google.com/drive/folders/1pXKo75Ok-K5JIW26hYvPB5ozSqx9Vnxr?usp=drive_link" TargetMode="External"/><Relationship Id="rId198" Type="http://schemas.openxmlformats.org/officeDocument/2006/relationships/hyperlink" Target="https://drive.google.com/drive/folders/1FngDUNadRgVJ2SW6VdLGZ9kLZsY7RAf-?usp=drive_link" TargetMode="External"/><Relationship Id="rId14" Type="http://schemas.openxmlformats.org/officeDocument/2006/relationships/hyperlink" Target="https://docs.google.com/document/d/1vPGzHITGJb_jgnL554AA-X6q7bUuZSGH/edit?usp=drive_link&amp;ouid=113810406368108601541&amp;rtpof=true&amp;sd=true" TargetMode="External"/><Relationship Id="rId197" Type="http://schemas.openxmlformats.org/officeDocument/2006/relationships/hyperlink" Target="https://drive.google.com/drive/folders/1UshAdN4Rdbz-CChuhxM_ZgFt_WcVM9BZ?usp=drive_link" TargetMode="External"/><Relationship Id="rId17" Type="http://schemas.openxmlformats.org/officeDocument/2006/relationships/hyperlink" Target="https://drive.google.com/drive/folders/15bdlsL0lGKJL49HxKFI2uBhTvV1xM6MZ?usp=drive_link" TargetMode="External"/><Relationship Id="rId196" Type="http://schemas.openxmlformats.org/officeDocument/2006/relationships/hyperlink" Target="https://docs.google.com/document/d/1-pGvw9mQdBWhzfrYKudi_OzMlirhBd2n/edit?usp=drive_link&amp;ouid=113810406368108601541&amp;rtpof=true&amp;sd=true" TargetMode="External"/><Relationship Id="rId16" Type="http://schemas.openxmlformats.org/officeDocument/2006/relationships/hyperlink" Target="https://drive.google.com/file/d/15p3pGPtd1WdxTiG9kg__MDDq-p3BZlkm/view?usp=drive_link" TargetMode="External"/><Relationship Id="rId195" Type="http://schemas.openxmlformats.org/officeDocument/2006/relationships/hyperlink" Target="https://docs.google.com/document/d/1C9B7BOENWXrTgfMM0ZDnq79t0UoNABEt/edit?usp=drive_link&amp;ouid=113810406368108601541&amp;rtpof=true&amp;sd=true" TargetMode="External"/><Relationship Id="rId19" Type="http://schemas.openxmlformats.org/officeDocument/2006/relationships/hyperlink" Target="https://drive.google.com/drive/folders/1iEB7-cc-zce8BrDfxwkXG0zp_k3gMd8-?usp=drive_link" TargetMode="External"/><Relationship Id="rId18" Type="http://schemas.openxmlformats.org/officeDocument/2006/relationships/hyperlink" Target="https://docs.google.com/document/d/127E9Ex2wE4yP9bVp7ZBMQP65F2v2ZRpT/edit?usp=drive_link&amp;ouid=113810406368108601541&amp;rtpof=true&amp;sd=true" TargetMode="External"/><Relationship Id="rId199" Type="http://schemas.openxmlformats.org/officeDocument/2006/relationships/hyperlink" Target="https://docs.google.com/document/d/1x24Fj98Si0bRcT9zD22Ey0hvYQVAaonC/edit?usp=sharing&amp;ouid=113810406368108601541&amp;rtpof=true&amp;sd=true" TargetMode="External"/><Relationship Id="rId84" Type="http://schemas.openxmlformats.org/officeDocument/2006/relationships/hyperlink" Target="https://drive.google.com/drive/folders/1PugqapkIhFhPa8T1PBSHmrMdRlqqkxQ_?usp=drive_link" TargetMode="External"/><Relationship Id="rId83" Type="http://schemas.openxmlformats.org/officeDocument/2006/relationships/hyperlink" Target="https://docs.google.com/document/d/1R6bI2Q0LZnpKPHgrLNmtwqK_y9vCmFBV/edit?usp=drive_link&amp;ouid=113810406368108601541&amp;rtpof=true&amp;sd=true" TargetMode="External"/><Relationship Id="rId86" Type="http://schemas.openxmlformats.org/officeDocument/2006/relationships/hyperlink" Target="https://docs.google.com/document/d/1yOTPxXXhyNTAq59vEBi8Ar9MOCn-3KQs/edit?usp=drive_link&amp;ouid=113810406368108601541&amp;rtpof=true&amp;sd=true" TargetMode="External"/><Relationship Id="rId85" Type="http://schemas.openxmlformats.org/officeDocument/2006/relationships/hyperlink" Target="https://docs.google.com/document/d/1UVNBJv7Dj1gdjRE5fFUZwD755rFbHV8K/edit?usp=drive_link&amp;ouid=113810406368108601541&amp;rtpof=true&amp;sd=true" TargetMode="External"/><Relationship Id="rId88" Type="http://schemas.openxmlformats.org/officeDocument/2006/relationships/hyperlink" Target="https://docs.google.com/document/d/1OUCizzL2NZ4x39-Qbyu639NO1TcVdazM/edit?usp=drive_link&amp;ouid=102226612879501704230&amp;rtpof=true&amp;sd=true" TargetMode="External"/><Relationship Id="rId150" Type="http://schemas.openxmlformats.org/officeDocument/2006/relationships/hyperlink" Target="https://docs.google.com/document/d/14H6AFvjL1fLuwDsh-tLsooNEOs3t7yG2/edit?usp=drive_link&amp;ouid=113810406368108601541&amp;rtpof=true&amp;sd=true" TargetMode="External"/><Relationship Id="rId271" Type="http://schemas.openxmlformats.org/officeDocument/2006/relationships/hyperlink" Target="https://docs.google.com/document/d/1t5ixnf23j7-Mk1jMXsD3UgFPP-AkT2KBgGU558LrviQ/edit?usp=drive_link" TargetMode="External"/><Relationship Id="rId87" Type="http://schemas.openxmlformats.org/officeDocument/2006/relationships/hyperlink" Target="https://drive.google.com/drive/folders/19ioiUU1OXibGEjEl9YBWRNWLdPIUy_ia?usp=drive_link" TargetMode="External"/><Relationship Id="rId270" Type="http://schemas.openxmlformats.org/officeDocument/2006/relationships/hyperlink" Target="https://drive.google.com/drive/folders/1FIEeV1iBMpm5ytvhQKfGgDPwSp_w-Thz?usp=drive_link" TargetMode="External"/><Relationship Id="rId89" Type="http://schemas.openxmlformats.org/officeDocument/2006/relationships/hyperlink" Target="https://drive.google.com/drive/folders/1rzeBBZbkqts2wVdYBRy0WhKK4adSSLHo?usp=drive_link" TargetMode="External"/><Relationship Id="rId80" Type="http://schemas.openxmlformats.org/officeDocument/2006/relationships/hyperlink" Target="https://drive.google.com/drive/folders/1YRyaDyVrpFrYC27ToYE7bxxjKNDERWL-?usp=drive_link" TargetMode="External"/><Relationship Id="rId82" Type="http://schemas.openxmlformats.org/officeDocument/2006/relationships/hyperlink" Target="https://docs.google.com/document/d/19tH1EAwaupnCSLiTTYSdDJ-j8l939rY4/edit?usp=drive_link&amp;ouid=113810406368108601541&amp;rtpof=true&amp;sd=true" TargetMode="External"/><Relationship Id="rId81" Type="http://schemas.openxmlformats.org/officeDocument/2006/relationships/hyperlink" Target="https://drive.google.com/drive/folders/1RGxORJCltZVfgPoH2Qs83npEDx1XiCtp?usp=drive_link" TargetMode="External"/><Relationship Id="rId1" Type="http://schemas.openxmlformats.org/officeDocument/2006/relationships/hyperlink" Target="https://drive.google.com/drive/folders/1h7wI_wg6B06Miq1qpq8iCqK9cePGiAO0?usp=drive_link" TargetMode="External"/><Relationship Id="rId2" Type="http://schemas.openxmlformats.org/officeDocument/2006/relationships/hyperlink" Target="https://docs.google.com/document/d/12FREPBHR7ICFbz2_s1ZJbG8fSmpWzGjV/edit?usp=drive_link&amp;ouid=113810406368108601541&amp;rtpof=true&amp;sd=true" TargetMode="External"/><Relationship Id="rId3" Type="http://schemas.openxmlformats.org/officeDocument/2006/relationships/hyperlink" Target="https://docs.google.com/document/d/1sg2CtCa31IaSIJ9ehDjmAj-4KJul_U9f/edit?usp=drive_link&amp;ouid=113810406368108601541&amp;rtpof=true&amp;sd=true" TargetMode="External"/><Relationship Id="rId149" Type="http://schemas.openxmlformats.org/officeDocument/2006/relationships/hyperlink" Target="https://drive.google.com/drive/folders/1GsKxlIOPnfXAgnxeidJyw8W33BzzRsMP?usp=drive_link" TargetMode="External"/><Relationship Id="rId4" Type="http://schemas.openxmlformats.org/officeDocument/2006/relationships/hyperlink" Target="https://drive.google.com/drive/folders/1pI7OZnYkJr6y7_Djh1U4xoDO61I2Hqyk?usp=drive_link" TargetMode="External"/><Relationship Id="rId148" Type="http://schemas.openxmlformats.org/officeDocument/2006/relationships/hyperlink" Target="https://docs.google.com/document/d/1Zt-6-ZFm-ygxcMQmkhoRb9lgFIwYg766/edit?usp=drive_link&amp;ouid=113810406368108601541&amp;rtpof=true&amp;sd=true" TargetMode="External"/><Relationship Id="rId269" Type="http://schemas.openxmlformats.org/officeDocument/2006/relationships/hyperlink" Target="https://docs.google.com/document/d/10FsX-ar8HxfLFfE_AN86EUyG9sQquHED/edit?usp=drive_link&amp;ouid=113810406368108601541&amp;rtpof=true&amp;sd=true" TargetMode="External"/><Relationship Id="rId9" Type="http://schemas.openxmlformats.org/officeDocument/2006/relationships/hyperlink" Target="https://docs.google.com/document/d/1kTfOzJ76XSi5ZELBqb2uqE0GG9Tc4Rom/edit?usp=drive_link&amp;ouid=113810406368108601541&amp;rtpof=true&amp;sd=true" TargetMode="External"/><Relationship Id="rId143" Type="http://schemas.openxmlformats.org/officeDocument/2006/relationships/hyperlink" Target="https://drive.google.com/drive/folders/1-5826gK_YbeS7Kw82kuyYwSjlhLxeOJR?usp=drive_link" TargetMode="External"/><Relationship Id="rId264" Type="http://schemas.openxmlformats.org/officeDocument/2006/relationships/hyperlink" Target="https://docs.google.com/document/d/1qEJP9rH5opqrfk7mcxtxQ_R-mhpRhA12/edit?usp=drive_link&amp;ouid=113810406368108601541&amp;rtpof=true&amp;sd=true" TargetMode="External"/><Relationship Id="rId142" Type="http://schemas.openxmlformats.org/officeDocument/2006/relationships/hyperlink" Target="https://drive.google.com/drive/folders/1VpMcDCRFdrw7Ve2rKngO5kmulrkJvJoS?usp=sharing" TargetMode="External"/><Relationship Id="rId263" Type="http://schemas.openxmlformats.org/officeDocument/2006/relationships/hyperlink" Target="https://drive.google.com/drive/folders/1UMhRzMLUf-oxIAjADwt4L0ZVS2cQ51HV?usp=drive_link" TargetMode="External"/><Relationship Id="rId141" Type="http://schemas.openxmlformats.org/officeDocument/2006/relationships/hyperlink" Target="https://docs.google.com/document/d/1dzsVf6C6yggp3U60UBCvLseXpq3wr9u-/edit?usp=drive_link&amp;ouid=113810406368108601541&amp;rtpof=true&amp;sd=true" TargetMode="External"/><Relationship Id="rId262" Type="http://schemas.openxmlformats.org/officeDocument/2006/relationships/hyperlink" Target="https://drive.google.com/drive/folders/1wThYO6l0-XqokqymY61xflVycQ59MqEq?usp=drive_link" TargetMode="External"/><Relationship Id="rId140" Type="http://schemas.openxmlformats.org/officeDocument/2006/relationships/hyperlink" Target="https://docs.google.com/document/d/17_6_6q0RK7Cy-bLYxNS1BP7Vzp9ml1ww/edit?usp=drive_link&amp;ouid=113810406368108601541&amp;rtpof=true&amp;sd=true" TargetMode="External"/><Relationship Id="rId261" Type="http://schemas.openxmlformats.org/officeDocument/2006/relationships/hyperlink" Target="https://docs.google.com/document/d/1Y-mbOaLlY0JTeHxyRIEv4WLiLfMyFpDE/edit?usp=drive_link&amp;ouid=113810406368108601541&amp;rtpof=true&amp;sd=true" TargetMode="External"/><Relationship Id="rId5" Type="http://schemas.openxmlformats.org/officeDocument/2006/relationships/hyperlink" Target="https://drive.google.com/drive/folders/19OcXP81kiqeVOxmhQbMKq3liI5x9w-eZ?usp=drive_link" TargetMode="External"/><Relationship Id="rId147" Type="http://schemas.openxmlformats.org/officeDocument/2006/relationships/hyperlink" Target="https://docs.google.com/document/d/1csHqrsNwODNd_9fZMX950pD2NKWziHBQ/edit?usp=drive_link&amp;ouid=113810406368108601541&amp;rtpof=true&amp;sd=true" TargetMode="External"/><Relationship Id="rId268" Type="http://schemas.openxmlformats.org/officeDocument/2006/relationships/hyperlink" Target="https://docs.google.com/document/d/16Wi2rKmWqhowxT33446FYBEgwO8TkcTI/edit?usp=drive_link&amp;ouid=113810406368108601541&amp;rtpof=true&amp;sd=true" TargetMode="External"/><Relationship Id="rId6" Type="http://schemas.openxmlformats.org/officeDocument/2006/relationships/hyperlink" Target="https://docs.google.com/document/d/1UGleNjPn52l15_q0EDWlaQdADoXzUVx2/edit?usp=drive_link&amp;ouid=113810406368108601541&amp;rtpof=true&amp;sd=true" TargetMode="External"/><Relationship Id="rId146" Type="http://schemas.openxmlformats.org/officeDocument/2006/relationships/hyperlink" Target="https://drive.google.com/drive/folders/1YyFh9m95vw1ulPn-GBdVncQiZQc4brnQ?usp=drive_link" TargetMode="External"/><Relationship Id="rId267" Type="http://schemas.openxmlformats.org/officeDocument/2006/relationships/hyperlink" Target="https://drive.google.com/drive/folders/121vQI-_Zlu72SsMFdof-UMpBvFKSyGxU?usp=drive_link" TargetMode="External"/><Relationship Id="rId7" Type="http://schemas.openxmlformats.org/officeDocument/2006/relationships/hyperlink" Target="https://drive.google.com/drive/folders/1trpo6TP2icKy0ezGR77rvIub-8rAeWcH?usp=drive_link" TargetMode="External"/><Relationship Id="rId145" Type="http://schemas.openxmlformats.org/officeDocument/2006/relationships/hyperlink" Target="https://docs.google.com/document/d/1iYlkERoA2j-VcNrLFMuAjlSZaDUoT-Bd/edit?usp=drive_link&amp;ouid=113810406368108601541&amp;rtpof=true&amp;sd=true" TargetMode="External"/><Relationship Id="rId266" Type="http://schemas.openxmlformats.org/officeDocument/2006/relationships/hyperlink" Target="https://drive.google.com/drive/folders/1Y9wP6_tVpcGvh5eDWu_hiCuvzd5I6O-J?usp=drive_link" TargetMode="External"/><Relationship Id="rId8" Type="http://schemas.openxmlformats.org/officeDocument/2006/relationships/hyperlink" Target="https://docs.google.com/document/d/1CpvJGomGV9rLiLd6j_5a3Kz6huWI-Dic/edit?usp=drive_link&amp;ouid=113810406368108601541&amp;rtpof=true&amp;sd=true" TargetMode="External"/><Relationship Id="rId144" Type="http://schemas.openxmlformats.org/officeDocument/2006/relationships/hyperlink" Target="https://docs.google.com/document/d/1GYSFUHKIdDzbuCAGvp4AxlMzXBZJCa8j/edit?usp=drive_link&amp;ouid=113810406368108601541&amp;rtpof=true&amp;sd=true" TargetMode="External"/><Relationship Id="rId265" Type="http://schemas.openxmlformats.org/officeDocument/2006/relationships/hyperlink" Target="https://docs.google.com/document/d/1FphRhS2fd6yMHGAxglW_J8UtzS41mmpJ/edit?usp=drive_link&amp;ouid=113810406368108601541&amp;rtpof=true&amp;sd=true" TargetMode="External"/><Relationship Id="rId73" Type="http://schemas.openxmlformats.org/officeDocument/2006/relationships/hyperlink" Target="https://docs.google.com/document/d/1_V-6izCSbHs0Kbv-NUOVrf36t1Ba5Lv4/edit?usp=drive_link&amp;ouid=113810406368108601541&amp;rtpof=true&amp;sd=true" TargetMode="External"/><Relationship Id="rId72" Type="http://schemas.openxmlformats.org/officeDocument/2006/relationships/hyperlink" Target="https://docs.google.com/document/d/1uHxeR6XrQj5yqNIIHk82hgHHNKaNeY6o/edit?usp=drive_link&amp;ouid=113810406368108601541&amp;rtpof=true&amp;sd=true" TargetMode="External"/><Relationship Id="rId75" Type="http://schemas.openxmlformats.org/officeDocument/2006/relationships/hyperlink" Target="https://drive.google.com/file/d/1nY_KawnIYHBv7aBA0Tgonfe2i8UHU1wT/view?usp=drive_link" TargetMode="External"/><Relationship Id="rId74" Type="http://schemas.openxmlformats.org/officeDocument/2006/relationships/hyperlink" Target="https://drive.google.com/drive/folders/1hU55rYLwgi5dN045cSW5Hu1gzMFtvSv1?usp=drive_link" TargetMode="External"/><Relationship Id="rId77" Type="http://schemas.openxmlformats.org/officeDocument/2006/relationships/hyperlink" Target="https://drive.google.com/drive/folders/1ZOC4_vXEiI6zJ1mtDijzPxa0e18FfNQJ?usp=drive_link" TargetMode="External"/><Relationship Id="rId260" Type="http://schemas.openxmlformats.org/officeDocument/2006/relationships/hyperlink" Target="https://docs.google.com/document/d/1ByxgAjP3ZbseT7QC9aipeg9FsnFmF_DA/edit?usp=drive_link&amp;ouid=113810406368108601541&amp;rtpof=true&amp;sd=true" TargetMode="External"/><Relationship Id="rId76" Type="http://schemas.openxmlformats.org/officeDocument/2006/relationships/hyperlink" Target="https://docs.google.com/document/d/1L05hx-TBmM-Bj_AN3bpwmbpVzbZ8kD-H/edit?usp=drive_link&amp;ouid=102226612879501704230&amp;rtpof=true&amp;sd=true" TargetMode="External"/><Relationship Id="rId79" Type="http://schemas.openxmlformats.org/officeDocument/2006/relationships/hyperlink" Target="https://drive.google.com/drive/folders/1wRvtfB4JsHxKuDh-c0PVCvM4CcRa-XFQ?usp=drive_link" TargetMode="External"/><Relationship Id="rId78" Type="http://schemas.openxmlformats.org/officeDocument/2006/relationships/hyperlink" Target="https://docs.google.com/document/d/1RFE30iwwoMc_x_SSPf1-j0_wtcieQ37a/edit?usp=drive_link&amp;ouid=113810406368108601541&amp;rtpof=true&amp;sd=true" TargetMode="External"/><Relationship Id="rId71" Type="http://schemas.openxmlformats.org/officeDocument/2006/relationships/hyperlink" Target="https://drive.google.com/drive/folders/1bcrjS-gfI0NnyqyMNjLsTC0s19a2Uqgz?usp=drive_link" TargetMode="External"/><Relationship Id="rId70" Type="http://schemas.openxmlformats.org/officeDocument/2006/relationships/hyperlink" Target="https://docs.google.com/document/d/1WkZiPJ_75mnFqXz9uwc6TY0y57xkH6jj/edit?usp=drive_link&amp;ouid=113810406368108601541&amp;rtpof=true&amp;sd=true" TargetMode="External"/><Relationship Id="rId139" Type="http://schemas.openxmlformats.org/officeDocument/2006/relationships/hyperlink" Target="https://drive.google.com/drive/folders/12MBKfMJvnEGCmcXICvadHO2m8XPXu5vb?usp=drive_link" TargetMode="External"/><Relationship Id="rId138" Type="http://schemas.openxmlformats.org/officeDocument/2006/relationships/hyperlink" Target="https://docs.google.com/document/d/1jadRbdsF3T-YlCx1rFzBl5tUA73Jq9-t/edit?usp=drive_link&amp;ouid=113810406368108601541&amp;rtpof=true&amp;sd=true" TargetMode="External"/><Relationship Id="rId259" Type="http://schemas.openxmlformats.org/officeDocument/2006/relationships/hyperlink" Target="https://drive.google.com/drive/folders/10lUdMRKhrWIDZ7lFG9itfoV9-c_tJcUZ?usp=drive_link" TargetMode="External"/><Relationship Id="rId137" Type="http://schemas.openxmlformats.org/officeDocument/2006/relationships/hyperlink" Target="https://drive.google.com/drive/folders/18qlkA3eEdkpvNcRVvO8HXmXoPeTkoJW-?usp=drive_link" TargetMode="External"/><Relationship Id="rId258" Type="http://schemas.openxmlformats.org/officeDocument/2006/relationships/hyperlink" Target="https://docs.google.com/document/d/1R8o5wt7U8YG48hIGN1PI2mWJHT3boMIu/edit?usp=drive_link&amp;ouid=113810406368108601541&amp;rtpof=true&amp;sd=true" TargetMode="External"/><Relationship Id="rId132" Type="http://schemas.openxmlformats.org/officeDocument/2006/relationships/hyperlink" Target="https://drive.google.com/drive/folders/1PrLLj-E1jHUK7BU05vPE1gMJjCzs1wVA?usp=drive_link" TargetMode="External"/><Relationship Id="rId253" Type="http://schemas.openxmlformats.org/officeDocument/2006/relationships/hyperlink" Target="https://docs.google.com/document/d/1FftXomseFhmSDj1jEjFscvzoVtpkQgPF/edit?usp=drive_link&amp;ouid=113810406368108601541&amp;rtpof=true&amp;sd=true" TargetMode="External"/><Relationship Id="rId131" Type="http://schemas.openxmlformats.org/officeDocument/2006/relationships/hyperlink" Target="https://docs.google.com/document/d/1SbxtDJ88DpPpYhVIR8fmypv66FbQPOC8/edit?usp=drive_link&amp;ouid=113810406368108601541&amp;rtpof=true&amp;sd=true" TargetMode="External"/><Relationship Id="rId252" Type="http://schemas.openxmlformats.org/officeDocument/2006/relationships/hyperlink" Target="https://drive.google.com/drive/folders/1I0XqW3JsIOX1t1mdsxA4jhjZbX0-mUek?usp=drive_link" TargetMode="External"/><Relationship Id="rId130" Type="http://schemas.openxmlformats.org/officeDocument/2006/relationships/hyperlink" Target="https://docs.google.com/document/d/1aCxwv-YH4_tUI0Yzsdw89_FWq2maGgse/edit?usp=drive_link&amp;ouid=113810406368108601541&amp;rtpof=true&amp;sd=true" TargetMode="External"/><Relationship Id="rId251" Type="http://schemas.openxmlformats.org/officeDocument/2006/relationships/hyperlink" Target="https://docs.google.com/document/d/1c5gqX9dBh0qHTyS6Jk803oow1n69yq5k/edit?usp=drive_link&amp;ouid=113810406368108601541&amp;rtpof=true&amp;sd=true" TargetMode="External"/><Relationship Id="rId250" Type="http://schemas.openxmlformats.org/officeDocument/2006/relationships/hyperlink" Target="https://drive.google.com/drive/folders/1bYPir09awm5dMAOtyYd-XjbxARrF9_b3?usp=drive_link" TargetMode="External"/><Relationship Id="rId136" Type="http://schemas.openxmlformats.org/officeDocument/2006/relationships/hyperlink" Target="https://docs.google.com/document/d/16jDZsTl4jkkV7IcsVEktsMmz1rswSF0I/edit?usp=drive_link&amp;ouid=113810406368108601541&amp;rtpof=true&amp;sd=true" TargetMode="External"/><Relationship Id="rId257" Type="http://schemas.openxmlformats.org/officeDocument/2006/relationships/hyperlink" Target="https://docs.google.com/document/d/1gx0nq0uYN6PzZ_8qkvN0PDuRFNM6QS-5/edit?usp=drive_link&amp;ouid=113810406368108601541&amp;rtpof=true&amp;sd=true" TargetMode="External"/><Relationship Id="rId135" Type="http://schemas.openxmlformats.org/officeDocument/2006/relationships/hyperlink" Target="https://drive.google.com/drive/folders/1vn1DcUZKr5qbSZNN5qzbospXXdr863Zv?usp=drive_link" TargetMode="External"/><Relationship Id="rId256" Type="http://schemas.openxmlformats.org/officeDocument/2006/relationships/hyperlink" Target="https://drive.google.com/drive/folders/1kmiILd6dROatmiQM2IzqjsNeewGO8FNN?usp=drive_link" TargetMode="External"/><Relationship Id="rId134" Type="http://schemas.openxmlformats.org/officeDocument/2006/relationships/hyperlink" Target="https://docs.google.com/document/d/1i--5e3hqxmIjOZrbbKOZljbiNQYnYmjK/edit?usp=drive_link&amp;ouid=113810406368108601541&amp;rtpof=true&amp;sd=true" TargetMode="External"/><Relationship Id="rId255" Type="http://schemas.openxmlformats.org/officeDocument/2006/relationships/hyperlink" Target="https://drive.google.com/drive/folders/1PTYOT29yrTbTl4pKIQO5x07J8sDgx9M_?usp=drive_link" TargetMode="External"/><Relationship Id="rId133" Type="http://schemas.openxmlformats.org/officeDocument/2006/relationships/hyperlink" Target="https://docs.google.com/document/d/10R9bcvc7PxzqbMouaj-_xBgykKMG0gNg/edit?usp=drive_link&amp;ouid=113810406368108601541&amp;rtpof=true&amp;sd=true" TargetMode="External"/><Relationship Id="rId254" Type="http://schemas.openxmlformats.org/officeDocument/2006/relationships/hyperlink" Target="https://docs.google.com/document/d/1RBkrAZSkXBZIs1obzuwshtY5fe6IT-Yv/edit?usp=drive_link&amp;ouid=113810406368108601541&amp;rtpof=true&amp;sd=true" TargetMode="External"/><Relationship Id="rId62" Type="http://schemas.openxmlformats.org/officeDocument/2006/relationships/hyperlink" Target="https://docs.google.com/document/d/16dD5ktiRYgXWtzVwZ5YWayG2X1RppmtL/edit?usp=drive_link&amp;ouid=113810406368108601541&amp;rtpof=true&amp;sd=true" TargetMode="External"/><Relationship Id="rId61" Type="http://schemas.openxmlformats.org/officeDocument/2006/relationships/hyperlink" Target="https://drive.google.com/file/d/1KLDFz3JRdEZcwlA2BwqzT13F6hnmuao0/view?usp=drive_link" TargetMode="External"/><Relationship Id="rId64" Type="http://schemas.openxmlformats.org/officeDocument/2006/relationships/hyperlink" Target="https://docs.google.com/document/d/1Y8cgyZnM7NBqoacMvEG37oF3-LGVv-qt/edit?usp=drive_link&amp;ouid=113810406368108601541&amp;rtpof=true&amp;sd=true" TargetMode="External"/><Relationship Id="rId63" Type="http://schemas.openxmlformats.org/officeDocument/2006/relationships/hyperlink" Target="https://drive.google.com/drive/folders/1D2gjeqxhEzfOYm6cFkQogwKS85sFxZXz?usp=drive_link" TargetMode="External"/><Relationship Id="rId66" Type="http://schemas.openxmlformats.org/officeDocument/2006/relationships/hyperlink" Target="https://docs.google.com/document/d/1KIRuH19IJW__o_3HNJhA5f2aFZTce2QY/edit?usp=drive_link&amp;ouid=113810406368108601541&amp;rtpof=true&amp;sd=true" TargetMode="External"/><Relationship Id="rId172" Type="http://schemas.openxmlformats.org/officeDocument/2006/relationships/hyperlink" Target="https://docs.google.com/document/d/139X2bCG02tWD9Py8DdmdDeQD5TFOUFlN/edit?usp=drive_link&amp;ouid=113810406368108601541&amp;rtpof=true&amp;sd=true" TargetMode="External"/><Relationship Id="rId293" Type="http://schemas.openxmlformats.org/officeDocument/2006/relationships/hyperlink" Target="https://drive.google.com/drive/folders/1iZ-KcOlR6r1JVPGwYeuUez8HjWZOVe93?usp=drive_link" TargetMode="External"/><Relationship Id="rId65" Type="http://schemas.openxmlformats.org/officeDocument/2006/relationships/hyperlink" Target="https://drive.google.com/drive/folders/1_Zk_FEq6U9B8QGYPr4p1_8YgvPHhayQZ?usp=drive_link" TargetMode="External"/><Relationship Id="rId171" Type="http://schemas.openxmlformats.org/officeDocument/2006/relationships/hyperlink" Target="https://drive.google.com/drive/folders/1eyaeP6yae6s4HIVdH3m0Qo-2gqTbTqS-?usp=drive_link" TargetMode="External"/><Relationship Id="rId292" Type="http://schemas.openxmlformats.org/officeDocument/2006/relationships/hyperlink" Target="https://docs.google.com/document/d/1o46_XKgR6ZZQwlzPdjPKnnrkf-DyzWC-/edit?usp=drive_link&amp;ouid=113810406368108601541&amp;rtpof=true&amp;sd=true" TargetMode="External"/><Relationship Id="rId68" Type="http://schemas.openxmlformats.org/officeDocument/2006/relationships/hyperlink" Target="https://drive.google.com/drive/folders/1TL7--zhN7ngN6zPMjLDbj_fl_XDBs9W9?usp=drive_link" TargetMode="External"/><Relationship Id="rId170" Type="http://schemas.openxmlformats.org/officeDocument/2006/relationships/hyperlink" Target="https://docs.google.com/document/d/133lw8XRO7zFJqt1JPXREPaHj86qrvOy0/edit?usp=drive_link&amp;ouid=113810406368108601541&amp;rtpof=true&amp;sd=true" TargetMode="External"/><Relationship Id="rId291" Type="http://schemas.openxmlformats.org/officeDocument/2006/relationships/hyperlink" Target="https://docs.google.com/document/d/1lkGMBWHA1QY2BkXhnOfX4xYWYfPkdgGO/edit?usp=drive_link&amp;ouid=113810406368108601541&amp;rtpof=true&amp;sd=true" TargetMode="External"/><Relationship Id="rId67" Type="http://schemas.openxmlformats.org/officeDocument/2006/relationships/hyperlink" Target="https://drive.google.com/drive/folders/1NdbWNS5_AsEh57amh-V-jAvPzxJ7l0Ox?usp=drive_link" TargetMode="External"/><Relationship Id="rId290" Type="http://schemas.openxmlformats.org/officeDocument/2006/relationships/hyperlink" Target="https://drive.google.com/drive/folders/1eBMSZWdwSI2fnlmS-WMqldBlYcOe_mti?usp=drive_link" TargetMode="External"/><Relationship Id="rId60" Type="http://schemas.openxmlformats.org/officeDocument/2006/relationships/hyperlink" Target="https://drive.google.com/drive/folders/1msrDQ6fszfwBgWHnjwywIC5HDki6VZ6M?usp=drive_link" TargetMode="External"/><Relationship Id="rId165" Type="http://schemas.openxmlformats.org/officeDocument/2006/relationships/hyperlink" Target="https://docs.google.com/document/d/1vZyz339IQcZvQBQGjLtZHILwpljBHLdB/edit?usp=drive_link&amp;ouid=113810406368108601541&amp;rtpof=true&amp;sd=true" TargetMode="External"/><Relationship Id="rId286" Type="http://schemas.openxmlformats.org/officeDocument/2006/relationships/hyperlink" Target="https://docs.google.com/document/d/1DAJgXO3cwhNF-zBifkyWiACmatw2ruEW/edit?usp=drive_link&amp;ouid=113810406368108601541&amp;rtpof=true&amp;sd=true" TargetMode="External"/><Relationship Id="rId69" Type="http://schemas.openxmlformats.org/officeDocument/2006/relationships/hyperlink" Target="https://docs.google.com/document/d/1oTG_vNwrbCaXL9gMTAM36osJarmhfo3G/edit?usp=drive_link&amp;ouid=113810406368108601541&amp;rtpof=true&amp;sd=true" TargetMode="External"/><Relationship Id="rId164" Type="http://schemas.openxmlformats.org/officeDocument/2006/relationships/hyperlink" Target="https://drive.google.com/drive/folders/1ENlQZezf4Gh6QpWKsy8FWhY-tNRAa-1j?usp=drive_link" TargetMode="External"/><Relationship Id="rId285" Type="http://schemas.openxmlformats.org/officeDocument/2006/relationships/hyperlink" Target="https://drive.google.com/drive/folders/1AxscJgmisIYQSB0IbhtmZT0cKAhUUa8O?usp=drive_link" TargetMode="External"/><Relationship Id="rId163" Type="http://schemas.openxmlformats.org/officeDocument/2006/relationships/hyperlink" Target="https://docs.google.com/document/d/1rPsHvb8Xx3RMu1YAYM19WfHxiZ90t0jY/edit?usp=drive_link&amp;ouid=113810406368108601541&amp;rtpof=true&amp;sd=true" TargetMode="External"/><Relationship Id="rId284" Type="http://schemas.openxmlformats.org/officeDocument/2006/relationships/hyperlink" Target="https://docs.google.com/document/d/1a3dJr_BfhWeJSPJQQlO8S80afWkG0Ee9/edit?usp=drive_link&amp;ouid=113810406368108601541&amp;rtpof=true&amp;sd=true" TargetMode="External"/><Relationship Id="rId162" Type="http://schemas.openxmlformats.org/officeDocument/2006/relationships/hyperlink" Target="https://drive.google.com/drive/folders/1amR3uJKB-H0qshu-anTvYWKAYpLYtfY1?usp=drive_link" TargetMode="External"/><Relationship Id="rId283" Type="http://schemas.openxmlformats.org/officeDocument/2006/relationships/hyperlink" Target="https://drive.google.com/drive/folders/1qtThLoa0H_5DoX3m3DPMb3SEZ8CynxbU?usp=drive_link" TargetMode="External"/><Relationship Id="rId169" Type="http://schemas.openxmlformats.org/officeDocument/2006/relationships/hyperlink" Target="https://docs.google.com/document/d/1lDpCquAdItdF-ck7kpaJUSkRqT_Qz3_D/edit?usp=drive_link&amp;ouid=113810406368108601541&amp;rtpof=true&amp;sd=true" TargetMode="External"/><Relationship Id="rId168" Type="http://schemas.openxmlformats.org/officeDocument/2006/relationships/hyperlink" Target="https://drive.google.com/drive/folders/1rvh37-UtGIWwyKvX0uqKRNreFgK72nbq?usp=drive_link" TargetMode="External"/><Relationship Id="rId289" Type="http://schemas.openxmlformats.org/officeDocument/2006/relationships/hyperlink" Target="https://drive.google.com/drive/folders/1-uuVATQ4KsMfHFzAPCiMbq6jNtPcDeqF?usp=drive_link" TargetMode="External"/><Relationship Id="rId167" Type="http://schemas.openxmlformats.org/officeDocument/2006/relationships/hyperlink" Target="https://drive.google.com/drive/folders/1MUjS-k6_OcaI2X_gBvi56B4VE23TSmi3?usp=drive_link" TargetMode="External"/><Relationship Id="rId288" Type="http://schemas.openxmlformats.org/officeDocument/2006/relationships/hyperlink" Target="https://drive.google.com/drive/folders/1QGElRGDeMMsBPBbzh-tRy6Re2wcou1f1?usp=drive_link" TargetMode="External"/><Relationship Id="rId166" Type="http://schemas.openxmlformats.org/officeDocument/2006/relationships/hyperlink" Target="https://drive.google.com/drive/folders/1euMwL8EpyMkW9tjyqxFxR-EHc5_cJfrs?usp=drive_link" TargetMode="External"/><Relationship Id="rId287" Type="http://schemas.openxmlformats.org/officeDocument/2006/relationships/hyperlink" Target="https://docs.google.com/document/d/1nbuR6sC7cFtdz9DJfFabRK2WbZxJbbt0/edit?usp=drive_link&amp;ouid=113810406368108601541&amp;rtpof=true&amp;sd=true" TargetMode="External"/><Relationship Id="rId51" Type="http://schemas.openxmlformats.org/officeDocument/2006/relationships/hyperlink" Target="https://drive.google.com/drive/folders/1M0hQ-lTi15ccXSLE_IXMzoFhqU1AnMEW?usp=drive_link" TargetMode="External"/><Relationship Id="rId50" Type="http://schemas.openxmlformats.org/officeDocument/2006/relationships/hyperlink" Target="https://docs.google.com/document/d/1QLqWP0-5wuhSFvcr2hXBykXBdMG4AKi_/edit?usp=drive_link&amp;ouid=113810406368108601541&amp;rtpof=true&amp;sd=true" TargetMode="External"/><Relationship Id="rId53" Type="http://schemas.openxmlformats.org/officeDocument/2006/relationships/hyperlink" Target="https://drive.google.com/drive/folders/1NCVU4cAX_zViXRCEYija_7kb2rh4z5v9?usp=drive_link" TargetMode="External"/><Relationship Id="rId52" Type="http://schemas.openxmlformats.org/officeDocument/2006/relationships/hyperlink" Target="https://docs.google.com/document/d/17eRlV430od3YYN2ybkRQ0PUxgUjPsgot/edit?usp=drive_link&amp;ouid=102226612879501704230&amp;rtpof=true&amp;sd=true" TargetMode="External"/><Relationship Id="rId55" Type="http://schemas.openxmlformats.org/officeDocument/2006/relationships/hyperlink" Target="https://docs.google.com/document/d/1blBgly_SdcW4_orx1B4Ax7fvtICEVXrp/edit?usp=drive_link&amp;ouid=113810406368108601541&amp;rtpof=true&amp;sd=true" TargetMode="External"/><Relationship Id="rId161" Type="http://schemas.openxmlformats.org/officeDocument/2006/relationships/hyperlink" Target="https://docs.google.com/document/d/1O9UfnfXLriPw2Ow5zNKu4guTiDzEy1VF/edit?usp=drive_link&amp;ouid=113810406368108601541&amp;rtpof=true&amp;sd=true" TargetMode="External"/><Relationship Id="rId282" Type="http://schemas.openxmlformats.org/officeDocument/2006/relationships/hyperlink" Target="https://docs.google.com/document/d/1mK-5K_CzmdpLUubl6fgKB4lkP5KetrdT/edit?usp=drive_link&amp;ouid=113810406368108601541&amp;rtpof=true&amp;sd=true" TargetMode="External"/><Relationship Id="rId54" Type="http://schemas.openxmlformats.org/officeDocument/2006/relationships/hyperlink" Target="https://drive.google.com/drive/folders/1JCA6O3bkWWIsj_k1161NsvB4eFXjOGTQ?usp=drive_link" TargetMode="External"/><Relationship Id="rId160" Type="http://schemas.openxmlformats.org/officeDocument/2006/relationships/hyperlink" Target="https://docs.google.com/document/d/1aNgws6comJqho9vhm6NgeP01ZoYsfTNt/edit?usp=drive_link&amp;ouid=113810406368108601541&amp;rtpof=true&amp;sd=true" TargetMode="External"/><Relationship Id="rId281" Type="http://schemas.openxmlformats.org/officeDocument/2006/relationships/hyperlink" Target="https://docs.google.com/document/d/1X-k3R1jKr_OcfW6JNuCo7EtEbo0MC0YD1sCPf7W96Eg/edit?usp=drive_link" TargetMode="External"/><Relationship Id="rId57" Type="http://schemas.openxmlformats.org/officeDocument/2006/relationships/hyperlink" Target="https://drive.google.com/drive/folders/1IuJl_3PU3ne19BVMq0vj5xEMrmgeOlwy?usp=drive_link" TargetMode="External"/><Relationship Id="rId280" Type="http://schemas.openxmlformats.org/officeDocument/2006/relationships/hyperlink" Target="https://drive.google.com/drive/folders/1OaEV7hp3u3PdQl0gCR5IXfffWqY_fXId?usp=drive_link" TargetMode="External"/><Relationship Id="rId56" Type="http://schemas.openxmlformats.org/officeDocument/2006/relationships/hyperlink" Target="https://docs.google.com/document/d/1H62Zi5lRsLMUz3ZN9HvZ-wKOz6UX_J19/edit?usp=drive_link&amp;ouid=113810406368108601541&amp;rtpof=true&amp;sd=true" TargetMode="External"/><Relationship Id="rId159" Type="http://schemas.openxmlformats.org/officeDocument/2006/relationships/hyperlink" Target="https://drive.google.com/drive/folders/1PZO14y5IlyVsyIEPDUkOxZEfPWt_wWs5?usp=drive_link" TargetMode="External"/><Relationship Id="rId59" Type="http://schemas.openxmlformats.org/officeDocument/2006/relationships/hyperlink" Target="https://docs.google.com/document/d/1MJNOOMPAqJd99tCK67RClYX3l68K02Sk/edit?usp=drive_link&amp;ouid=113810406368108601541&amp;rtpof=true&amp;sd=true" TargetMode="External"/><Relationship Id="rId154" Type="http://schemas.openxmlformats.org/officeDocument/2006/relationships/hyperlink" Target="https://docs.google.com/document/d/151aewBSYuio0f0RtqRicPOH9wM8FN0TI/edit?usp=drive_link&amp;ouid=113810406368108601541&amp;rtpof=true&amp;sd=true" TargetMode="External"/><Relationship Id="rId275" Type="http://schemas.openxmlformats.org/officeDocument/2006/relationships/hyperlink" Target="https://docs.google.com/document/d/1vVLx3_7o-i6qa25HxRKmVP5QOqyUXndq/edit?usp=drive_link&amp;ouid=113810406368108601541&amp;rtpof=true&amp;sd=true" TargetMode="External"/><Relationship Id="rId58" Type="http://schemas.openxmlformats.org/officeDocument/2006/relationships/hyperlink" Target="https://docs.google.com/document/d/1r3jef8cSvbyDaWdSNQ-a6UUMOwCHx3lx/edit?usp=drive_link&amp;ouid=113810406368108601541&amp;rtpof=true&amp;sd=true" TargetMode="External"/><Relationship Id="rId153" Type="http://schemas.openxmlformats.org/officeDocument/2006/relationships/hyperlink" Target="https://docs.google.com/document/d/1v1sQDY7Dd-612JyDGE5UxKd4sWf0G857/edit?usp=drive_link&amp;ouid=113810406368108601541&amp;rtpof=true&amp;sd=true" TargetMode="External"/><Relationship Id="rId274" Type="http://schemas.openxmlformats.org/officeDocument/2006/relationships/hyperlink" Target="https://drive.google.com/drive/folders/1pjMTkV5Yzum-P-jdMbIX88nWCIRjsSW1?usp=drive_link" TargetMode="External"/><Relationship Id="rId152" Type="http://schemas.openxmlformats.org/officeDocument/2006/relationships/hyperlink" Target="https://drive.google.com/drive/folders/1fvUFKmY-YL719biZr5ZCJONRCIf5ylpN?usp=drive_link" TargetMode="External"/><Relationship Id="rId273" Type="http://schemas.openxmlformats.org/officeDocument/2006/relationships/hyperlink" Target="https://drive.google.com/drive/folders/1J9pnQ9Ve1VadHL40Woddu9I7ajIn40Or?usp=drive_link" TargetMode="External"/><Relationship Id="rId151" Type="http://schemas.openxmlformats.org/officeDocument/2006/relationships/hyperlink" Target="https://docs.google.com/document/d/1f0LnaMLUGXLd5Z4ARony2gT7Z-eotbHD/edit?usp=sharing&amp;ouid=113810406368108601541&amp;rtpof=true&amp;sd=true" TargetMode="External"/><Relationship Id="rId272" Type="http://schemas.openxmlformats.org/officeDocument/2006/relationships/hyperlink" Target="https://docs.google.com/document/d/1EJWkRxgMDn9IpPLrCxFubZgapjVIL7iI/edit?usp=drive_link&amp;ouid=113810406368108601541&amp;rtpof=true&amp;sd=true" TargetMode="External"/><Relationship Id="rId158" Type="http://schemas.openxmlformats.org/officeDocument/2006/relationships/hyperlink" Target="https://drive.google.com/drive/folders/1vRDAhAIXlfcN8TN5hgCoCuEt5S-wWP28?usp=drive_link" TargetMode="External"/><Relationship Id="rId279" Type="http://schemas.openxmlformats.org/officeDocument/2006/relationships/hyperlink" Target="https://docs.google.com/document/d/1xpCr4zGowv0LAHi_JWwOIq6eqShrsPI6/edit?usp=drive_link&amp;ouid=113810406368108601541&amp;rtpof=true&amp;sd=true" TargetMode="External"/><Relationship Id="rId157" Type="http://schemas.openxmlformats.org/officeDocument/2006/relationships/hyperlink" Target="https://docs.google.com/document/d/1piuBEzOyqhSXzMon_hwljc0r8soUNKh6/edit?usp=drive_link&amp;ouid=113810406368108601541&amp;rtpof=true&amp;sd=true" TargetMode="External"/><Relationship Id="rId278" Type="http://schemas.openxmlformats.org/officeDocument/2006/relationships/hyperlink" Target="https://docs.google.com/document/d/1WlyMSttmtvoqh2N02MxwK4zZGrxhUeyxbwD8G3amoC4/edit?usp=drive_link" TargetMode="External"/><Relationship Id="rId156" Type="http://schemas.openxmlformats.org/officeDocument/2006/relationships/hyperlink" Target="https://docs.google.com/document/d/1LI3ADOyVBgy2XPmWyB3cALz2qE3P3xVP/edit?usp=drive_link&amp;ouid=113810406368108601541&amp;rtpof=true&amp;sd=true" TargetMode="External"/><Relationship Id="rId277" Type="http://schemas.openxmlformats.org/officeDocument/2006/relationships/hyperlink" Target="https://drive.google.com/drive/folders/1MJt_-HsSOb2MwP4-HEblM1q0n-Q_hoKA?usp=drive_link" TargetMode="External"/><Relationship Id="rId155" Type="http://schemas.openxmlformats.org/officeDocument/2006/relationships/hyperlink" Target="https://drive.google.com/drive/folders/1bNcEVQZ3SRrVlecNkwlFtTyIpOv0sqsG?usp=drive_link" TargetMode="External"/><Relationship Id="rId276" Type="http://schemas.openxmlformats.org/officeDocument/2006/relationships/hyperlink" Target="https://drive.google.com/drive/folders/1EcTnR0GHTNWM90jhX6wZlMu3MoOVIEX5?usp=drive_link" TargetMode="External"/><Relationship Id="rId107" Type="http://schemas.openxmlformats.org/officeDocument/2006/relationships/hyperlink" Target="https://drive.google.com/file/d/1UHpCIUJK_v8JDnzb-o88G5sXtyqaHmEj/view?usp=drive_link" TargetMode="External"/><Relationship Id="rId228" Type="http://schemas.openxmlformats.org/officeDocument/2006/relationships/hyperlink" Target="https://docs.google.com/document/d/17T83BD9W4dDze6xMzCmLChgX8qZC4PAS/edit?usp=drive_link&amp;ouid=113810406368108601541&amp;rtpof=true&amp;sd=true" TargetMode="External"/><Relationship Id="rId349" Type="http://schemas.openxmlformats.org/officeDocument/2006/relationships/hyperlink" Target="https://drive.google.com/drive/folders/1pKmgPdYYQb_PIwMr3SfVyAnyN2bBWgn_?usp=drive_link" TargetMode="External"/><Relationship Id="rId106" Type="http://schemas.openxmlformats.org/officeDocument/2006/relationships/hyperlink" Target="https://drive.google.com/drive/folders/1Vudje_vCNkuehCN_PJRn-qxKHJxuQjBQ?usp=drive_link" TargetMode="External"/><Relationship Id="rId227" Type="http://schemas.openxmlformats.org/officeDocument/2006/relationships/hyperlink" Target="https://docs.google.com/document/d/1SqJd6JEPx9dZ7mvltF3jCcXpfqzSKMzU/edit?usp=drive_link&amp;ouid=113810406368108601541&amp;rtpof=true&amp;sd=true" TargetMode="External"/><Relationship Id="rId348" Type="http://schemas.openxmlformats.org/officeDocument/2006/relationships/hyperlink" Target="https://drive.google.com/file/d/15qRmu7vU6xnQwEBaEf_W9gWZXYC6SJ7_/view?usp=drive_link" TargetMode="External"/><Relationship Id="rId105" Type="http://schemas.openxmlformats.org/officeDocument/2006/relationships/hyperlink" Target="https://drive.google.com/drive/folders/1pYAoRYukp1iLSV2BAJ6nhli_ypP_z8zG?usp=drive_link" TargetMode="External"/><Relationship Id="rId226" Type="http://schemas.openxmlformats.org/officeDocument/2006/relationships/hyperlink" Target="https://drive.google.com/drive/folders/1JPH8ZUK0zExr4AIEXxWLtvu-_Vi3Hf0Z?usp=drive_link" TargetMode="External"/><Relationship Id="rId347" Type="http://schemas.openxmlformats.org/officeDocument/2006/relationships/hyperlink" Target="https://drive.google.com/drive/folders/1XnwQjNJMIJ6i3hoJn4HFl3FJFlhJ6KTn?usp=drive_link" TargetMode="External"/><Relationship Id="rId104" Type="http://schemas.openxmlformats.org/officeDocument/2006/relationships/hyperlink" Target="https://docs.google.com/document/d/1qCYBNbPgrJgtHf8cLOMiv0PuQTX-YgBg/edit?usp=drive_link&amp;ouid=113810406368108601541&amp;rtpof=true&amp;sd=true" TargetMode="External"/><Relationship Id="rId225" Type="http://schemas.openxmlformats.org/officeDocument/2006/relationships/hyperlink" Target="https://docs.google.com/document/d/1wsANRH_e414VuVvr7rqtVjwrGzNNSVXE/edit?usp=drive_link&amp;ouid=113810406368108601541&amp;rtpof=true&amp;sd=true" TargetMode="External"/><Relationship Id="rId346" Type="http://schemas.openxmlformats.org/officeDocument/2006/relationships/hyperlink" Target="https://drive.google.com/drive/folders/1lfSNH0UmKMvniXWQv9YYlHCyArfPNNcg?usp=drive_link" TargetMode="External"/><Relationship Id="rId109" Type="http://schemas.openxmlformats.org/officeDocument/2006/relationships/hyperlink" Target="https://drive.google.com/drive/folders/1ne-8HT8mjFWEXcKPH_qT-9r9qmHM2y72?usp=drive_link" TargetMode="External"/><Relationship Id="rId108" Type="http://schemas.openxmlformats.org/officeDocument/2006/relationships/hyperlink" Target="https://docs.google.com/document/d/1rYyhz4EQhRf98bn4lURagLFQM0Zy9ojz/edit?usp=drive_link&amp;ouid=113810406368108601541&amp;rtpof=true&amp;sd=true" TargetMode="External"/><Relationship Id="rId229" Type="http://schemas.openxmlformats.org/officeDocument/2006/relationships/hyperlink" Target="https://drive.google.com/drive/folders/1-EWj5VrA3oIUx-JLuS-PNw58DQ4_XDF8?usp=drive_link" TargetMode="External"/><Relationship Id="rId220" Type="http://schemas.openxmlformats.org/officeDocument/2006/relationships/hyperlink" Target="https://docs.google.com/document/d/1mBvSqEQgym6x1Sx_7--f8DfzAvoGkT8M/edit?usp=drive_link&amp;ouid=113810406368108601541&amp;rtpof=true&amp;sd=true" TargetMode="External"/><Relationship Id="rId341" Type="http://schemas.openxmlformats.org/officeDocument/2006/relationships/hyperlink" Target="https://drive.google.com/drive/folders/1KCAbX6vLlpud7Zjy9oVZQuIM5yyi623D?usp=drive_link" TargetMode="External"/><Relationship Id="rId340" Type="http://schemas.openxmlformats.org/officeDocument/2006/relationships/hyperlink" Target="https://docs.google.com/document/d/1b2L6Gz20cNEjE_A0kt6G_nYpPvqSruIV/edit?usp=drive_link&amp;ouid=113810406368108601541&amp;rtpof=true&amp;sd=true" TargetMode="External"/><Relationship Id="rId103" Type="http://schemas.openxmlformats.org/officeDocument/2006/relationships/hyperlink" Target="https://docs.google.com/document/d/1CyOaPV-UUzeB_85fZYyqo16CV5AjERmp/edit?usp=drive_link&amp;ouid=113810406368108601541&amp;rtpof=true&amp;sd=true" TargetMode="External"/><Relationship Id="rId224" Type="http://schemas.openxmlformats.org/officeDocument/2006/relationships/hyperlink" Target="https://drive.google.com/drive/folders/11oZwC8HpaHecdQW9vKeLK_73GZ0bV8g6?usp=drive_link" TargetMode="External"/><Relationship Id="rId345" Type="http://schemas.openxmlformats.org/officeDocument/2006/relationships/hyperlink" Target="https://docs.google.com/document/d/1Plq7DOGUAyAXMgRcffgUZw-9QB_crjJU/edit?usp=drive_link&amp;ouid=113810406368108601541&amp;rtpof=true&amp;sd=true" TargetMode="External"/><Relationship Id="rId102" Type="http://schemas.openxmlformats.org/officeDocument/2006/relationships/hyperlink" Target="https://drive.google.com/drive/folders/160Gxs2pJOZJtMD26i3behMEty7GA9uqe?usp=drive_link" TargetMode="External"/><Relationship Id="rId223" Type="http://schemas.openxmlformats.org/officeDocument/2006/relationships/hyperlink" Target="https://drive.google.com/drive/folders/16VRludxZ4z6Wn9bv1JXdVnEXprm2L6-7?usp=drive_link" TargetMode="External"/><Relationship Id="rId344" Type="http://schemas.openxmlformats.org/officeDocument/2006/relationships/hyperlink" Target="https://drive.google.com/drive/folders/1H2GOnteQFxOAczg5HDO-5ftZYsgbofL5?usp=drive_link" TargetMode="External"/><Relationship Id="rId101" Type="http://schemas.openxmlformats.org/officeDocument/2006/relationships/hyperlink" Target="https://docs.google.com/document/d/1dfcCYHHzbFGw75YXxff4NyauNxeSj4im/edit?usp=drive_link&amp;ouid=113810406368108601541&amp;rtpof=true&amp;sd=true" TargetMode="External"/><Relationship Id="rId222" Type="http://schemas.openxmlformats.org/officeDocument/2006/relationships/hyperlink" Target="https://docs.google.com/document/d/16nWoKsazsbvVxUZuoFS_VnXG4bxpEXof/edit?usp=drive_link&amp;ouid=102226612879501704230&amp;rtpof=true&amp;sd=true" TargetMode="External"/><Relationship Id="rId343" Type="http://schemas.openxmlformats.org/officeDocument/2006/relationships/hyperlink" Target="https://drive.google.com/drive/folders/1YX7DZP9i2gkQc3DzzabMe_4u4PxAgABO?usp=drive_link" TargetMode="External"/><Relationship Id="rId100" Type="http://schemas.openxmlformats.org/officeDocument/2006/relationships/hyperlink" Target="https://docs.google.com/document/d/1P7Ah2YiqdIh1ptVtvTDCQahENKinyeyt/edit?usp=drive_link&amp;ouid=113810406368108601541&amp;rtpof=true&amp;sd=true" TargetMode="External"/><Relationship Id="rId221" Type="http://schemas.openxmlformats.org/officeDocument/2006/relationships/hyperlink" Target="https://drive.google.com/drive/folders/1XMU__n0cTkiZIr9yZpX_Qx6pmuIwnA9u?usp=drive_link" TargetMode="External"/><Relationship Id="rId342" Type="http://schemas.openxmlformats.org/officeDocument/2006/relationships/hyperlink" Target="https://docs.google.com/document/d/1uj8E4if4fIyz5Z9G_ImIcMh2f9P_J7D2/edit?usp=drive_link&amp;ouid=102226612879501704230&amp;rtpof=true&amp;sd=true" TargetMode="External"/><Relationship Id="rId217" Type="http://schemas.openxmlformats.org/officeDocument/2006/relationships/hyperlink" Target="https://drive.google.com/drive/folders/1d0nXNcAQK2SiY0xBTZktsry7tZ_RZqy0?usp=drive_link" TargetMode="External"/><Relationship Id="rId338" Type="http://schemas.openxmlformats.org/officeDocument/2006/relationships/hyperlink" Target="https://drive.google.com/drive/folders/1gpxgydlIu8YUYhkzFbKGlqNyI1-S-076?usp=drive_link" TargetMode="External"/><Relationship Id="rId216" Type="http://schemas.openxmlformats.org/officeDocument/2006/relationships/hyperlink" Target="https://drive.google.com/drive/folders/1ek7kbvMdYZt8L6NEIM3eO3G451r1pqai?usp=drive_link" TargetMode="External"/><Relationship Id="rId337" Type="http://schemas.openxmlformats.org/officeDocument/2006/relationships/hyperlink" Target="https://docs.google.com/document/d/1HOhWfICht5rHaBhfwocSEVJnPMtpw-kK/edit?usp=drive_link&amp;ouid=113810406368108601541&amp;rtpof=true&amp;sd=true" TargetMode="External"/><Relationship Id="rId215" Type="http://schemas.openxmlformats.org/officeDocument/2006/relationships/hyperlink" Target="https://docs.google.com/document/d/1l7cVnWGuAd4qQ_PgtS0G_3nk5LnJWSTk/edit?usp=drive_link&amp;ouid=113810406368108601541&amp;rtpof=true&amp;sd=true" TargetMode="External"/><Relationship Id="rId336" Type="http://schemas.openxmlformats.org/officeDocument/2006/relationships/hyperlink" Target="https://docs.google.com/document/d/1ExayWK073M6p3aVQj4FacZLcErsHqoU0/edit?usp=drive_link&amp;ouid=113810406368108601541&amp;rtpof=true&amp;sd=true" TargetMode="External"/><Relationship Id="rId214" Type="http://schemas.openxmlformats.org/officeDocument/2006/relationships/hyperlink" Target="https://docs.google.com/document/d/15U4cWBlRkbZf5DYfx_u__kb1bULWEn3c/edit?usp=drive_link&amp;ouid=113810406368108601541&amp;rtpof=true&amp;sd=true" TargetMode="External"/><Relationship Id="rId335" Type="http://schemas.openxmlformats.org/officeDocument/2006/relationships/hyperlink" Target="https://drive.google.com/drive/folders/1Tr-fuH6CmP9ciwfYBSM1cmcVB1YkIPuJ?usp=drive_link" TargetMode="External"/><Relationship Id="rId219" Type="http://schemas.openxmlformats.org/officeDocument/2006/relationships/hyperlink" Target="https://docs.google.com/document/d/1V62pBOyYCDzdnzeiI829Gfu4b6aIeAgx/edit?usp=drive_link&amp;ouid=113810406368108601541&amp;rtpof=true&amp;sd=true" TargetMode="External"/><Relationship Id="rId218" Type="http://schemas.openxmlformats.org/officeDocument/2006/relationships/hyperlink" Target="https://drive.google.com/drive/folders/18FzbZwBqm--WqNeidr6UvDtzzcdNXsBB?usp=drive_link" TargetMode="External"/><Relationship Id="rId339" Type="http://schemas.openxmlformats.org/officeDocument/2006/relationships/hyperlink" Target="https://docs.google.com/document/d/17sL33wbCwD-CwIrpA88OsS03hlyurddq/edit?usp=drive_link&amp;ouid=113810406368108601541&amp;rtpof=true&amp;sd=true" TargetMode="External"/><Relationship Id="rId330" Type="http://schemas.openxmlformats.org/officeDocument/2006/relationships/hyperlink" Target="https://drive.google.com/drive/folders/1f5THUITgiaO2V1mql8837L4Hi1pBMY0f?usp=drive_link" TargetMode="External"/><Relationship Id="rId213" Type="http://schemas.openxmlformats.org/officeDocument/2006/relationships/hyperlink" Target="https://drive.google.com/drive/folders/1X5kfb2jj-d7JL8hL1ECLfmqDoF-wGK7-?usp=drive_link" TargetMode="External"/><Relationship Id="rId334" Type="http://schemas.openxmlformats.org/officeDocument/2006/relationships/hyperlink" Target="https://docs.google.com/document/d/1pv6tO7yjFXoYcWevG0DLtkMCVxo-7TUH/edit?usp=drive_link&amp;ouid=113810406368108601541&amp;rtpof=true&amp;sd=true" TargetMode="External"/><Relationship Id="rId212" Type="http://schemas.openxmlformats.org/officeDocument/2006/relationships/hyperlink" Target="https://drive.google.com/drive/folders/1cqsYf_KeAPNR0ieW4C9TYEZx6MUTXN5Q?usp=drive_link" TargetMode="External"/><Relationship Id="rId333" Type="http://schemas.openxmlformats.org/officeDocument/2006/relationships/hyperlink" Target="https://docs.google.com/document/d/1BRJHZr-6x4O8ToUygZybv5L8pdSvmoDG/edit?usp=drive_link&amp;ouid=113810406368108601541&amp;rtpof=true&amp;sd=true" TargetMode="External"/><Relationship Id="rId211" Type="http://schemas.openxmlformats.org/officeDocument/2006/relationships/hyperlink" Target="https://drive.google.com/drive/folders/1p81wggrcx2w3e73hER9bL6In-eBFz6b2?usp=drive_link" TargetMode="External"/><Relationship Id="rId332" Type="http://schemas.openxmlformats.org/officeDocument/2006/relationships/hyperlink" Target="https://drive.google.com/drive/folders/1iMerZcQM5giZeK0nTIaf0CgbyXRt-2Bp?usp=drive_link" TargetMode="External"/><Relationship Id="rId210" Type="http://schemas.openxmlformats.org/officeDocument/2006/relationships/hyperlink" Target="https://docs.google.com/document/d/1UceVgaf2yG_9dbv-N4qfvZuIyf-fX_do/edit?usp=drive_link&amp;ouid=113810406368108601541&amp;rtpof=true&amp;sd=true" TargetMode="External"/><Relationship Id="rId331" Type="http://schemas.openxmlformats.org/officeDocument/2006/relationships/hyperlink" Target="https://docs.google.com/document/d/1xdOgdFN7HDxNyaoW0Xb_l1ML870ZRnqe/edit?usp=drive_link&amp;ouid=113810406368108601541&amp;rtpof=true&amp;sd=true" TargetMode="External"/><Relationship Id="rId129" Type="http://schemas.openxmlformats.org/officeDocument/2006/relationships/hyperlink" Target="https://drive.google.com/drive/folders/1m6ldzQKInVcJnbniWE9FTBJBxM01aqlr?usp=drive_link" TargetMode="External"/><Relationship Id="rId128" Type="http://schemas.openxmlformats.org/officeDocument/2006/relationships/hyperlink" Target="https://docs.google.com/document/d/18JWNs8mSXZ0bWajGTSBcMSLiEa3eInL7/edit?usp=drive_link&amp;ouid=113810406368108601541&amp;rtpof=true&amp;sd=true" TargetMode="External"/><Relationship Id="rId249" Type="http://schemas.openxmlformats.org/officeDocument/2006/relationships/hyperlink" Target="https://docs.google.com/document/d/1d1vjuK__hmXtmlP1VptEsBz1FlAqETFV/edit?usp=drive_link&amp;ouid=113810406368108601541&amp;rtpof=true&amp;sd=true" TargetMode="External"/><Relationship Id="rId127" Type="http://schemas.openxmlformats.org/officeDocument/2006/relationships/hyperlink" Target="https://docs.google.com/document/d/1oJYNRRaW7DX20YOBr-wEpG_AXExTYNAp/edit?usp=drive_link&amp;ouid=113810406368108601541&amp;rtpof=true&amp;sd=true" TargetMode="External"/><Relationship Id="rId248" Type="http://schemas.openxmlformats.org/officeDocument/2006/relationships/hyperlink" Target="https://docs.google.com/document/d/1Z6M6EniINJsOUbmAdezlXq__yLj8lK7S/edit?usp=drive_link&amp;ouid=113810406368108601541&amp;rtpof=true&amp;sd=true" TargetMode="External"/><Relationship Id="rId126" Type="http://schemas.openxmlformats.org/officeDocument/2006/relationships/hyperlink" Target="https://drive.google.com/drive/folders/1eC4K0C_2lkbET7zdqE9uG1w9bQN2ttNa?usp=drive_link" TargetMode="External"/><Relationship Id="rId247" Type="http://schemas.openxmlformats.org/officeDocument/2006/relationships/hyperlink" Target="https://drive.google.com/drive/folders/1W5oCW0QnGTKqHVfTiN4ORXfKk7CUeYve?usp=drive_link" TargetMode="External"/><Relationship Id="rId121" Type="http://schemas.openxmlformats.org/officeDocument/2006/relationships/hyperlink" Target="https://docs.google.com/document/d/1JUtq009loFaW-0E7mlA_DrnOWRiB0jHq/edit?usp=drive_link&amp;ouid=113810406368108601541&amp;rtpof=true&amp;sd=true" TargetMode="External"/><Relationship Id="rId242" Type="http://schemas.openxmlformats.org/officeDocument/2006/relationships/hyperlink" Target="https://docs.google.com/document/d/11XiU49WLZ_85fLUNNk9jiSWjKeTIdrJ6/edit?usp=drive_link&amp;ouid=113810406368108601541&amp;rtpof=true&amp;sd=true" TargetMode="External"/><Relationship Id="rId363" Type="http://schemas.openxmlformats.org/officeDocument/2006/relationships/hyperlink" Target="https://docs.google.com/document/d/1tUMUO_Xwi4Z77zBGp4_7sYQRVuKDqiFv/edit?usp=drive_link&amp;ouid=113810406368108601541&amp;rtpof=true&amp;sd=true" TargetMode="External"/><Relationship Id="rId120" Type="http://schemas.openxmlformats.org/officeDocument/2006/relationships/hyperlink" Target="https://docs.google.com/document/d/1_JZwACnL3YxmHb77_bm0iQMTKu08RUv8/edit?usp=drive_link&amp;ouid=113810406368108601541&amp;rtpof=true&amp;sd=true" TargetMode="External"/><Relationship Id="rId241" Type="http://schemas.openxmlformats.org/officeDocument/2006/relationships/hyperlink" Target="https://docs.google.com/document/d/18iZH4rsqSn-KWflVfqpmk7nAsJU1iHOUCfpK_iqL4bU/edit?usp=drive_link" TargetMode="External"/><Relationship Id="rId362" Type="http://schemas.openxmlformats.org/officeDocument/2006/relationships/hyperlink" Target="https://docs.google.com/document/d/1NX1eag3LEgylHb_Mx88oJvigrOcyFJHL/edit?usp=drive_link&amp;ouid=113810406368108601541&amp;rtpof=true&amp;sd=true" TargetMode="External"/><Relationship Id="rId240" Type="http://schemas.openxmlformats.org/officeDocument/2006/relationships/hyperlink" Target="https://drive.google.com/drive/folders/1om867Fr4uECMBI2QaxkKvRNCsS5OF9If?usp=drive_link" TargetMode="External"/><Relationship Id="rId361" Type="http://schemas.openxmlformats.org/officeDocument/2006/relationships/hyperlink" Target="https://drive.google.com/drive/folders/1Xvk07zsoM7DpBsK8GBMVZ9kadtqb2syk?usp=drive_link" TargetMode="External"/><Relationship Id="rId360" Type="http://schemas.openxmlformats.org/officeDocument/2006/relationships/hyperlink" Target="https://docs.google.com/document/d/1HswlcxhyUoJfdZJtd5pA0kCtRRM3xmUE/edit?usp=drive_link&amp;ouid=113810406368108601541&amp;rtpof=true&amp;sd=true" TargetMode="External"/><Relationship Id="rId125" Type="http://schemas.openxmlformats.org/officeDocument/2006/relationships/hyperlink" Target="https://docs.google.com/document/d/1u8L5jTwWHpAinr7tccitj6hUy0LuJFu6/edit?usp=drive_link&amp;ouid=113810406368108601541&amp;rtpof=true&amp;sd=true" TargetMode="External"/><Relationship Id="rId246" Type="http://schemas.openxmlformats.org/officeDocument/2006/relationships/hyperlink" Target="https://drive.google.com/drive/folders/13QLvR54R4XQY0DwWpxXhmJRanDY1JNBu?usp=drive_link" TargetMode="External"/><Relationship Id="rId124" Type="http://schemas.openxmlformats.org/officeDocument/2006/relationships/hyperlink" Target="https://docs.google.com/document/d/1dSe9j-llWptjfMgSHzFto6j5kc7Pe6Xi/edit?usp=drive_link&amp;ouid=113810406368108601541&amp;rtpof=true&amp;sd=true" TargetMode="External"/><Relationship Id="rId245" Type="http://schemas.openxmlformats.org/officeDocument/2006/relationships/hyperlink" Target="https://docs.google.com/document/d/14F-PoQ_VjzG7mi7rS9G-ZPhj-ayJ8kGy/edit?usp=drive_link&amp;ouid=113810406368108601541&amp;rtpof=true&amp;sd=true" TargetMode="External"/><Relationship Id="rId123" Type="http://schemas.openxmlformats.org/officeDocument/2006/relationships/hyperlink" Target="https://drive.google.com/drive/folders/1lddbi-3YDhC79_RZKe21A9YOK-66dBuj?usp=drive_link" TargetMode="External"/><Relationship Id="rId244" Type="http://schemas.openxmlformats.org/officeDocument/2006/relationships/hyperlink" Target="https://docs.google.com/document/d/1zyRDcJOmxkzdau4ksNQ6Pxf4lr2Er9wK/edit?usp=drive_link&amp;ouid=113810406368108601541&amp;rtpof=true&amp;sd=true" TargetMode="External"/><Relationship Id="rId365" Type="http://schemas.openxmlformats.org/officeDocument/2006/relationships/drawing" Target="../drawings/drawing1.xml"/><Relationship Id="rId122" Type="http://schemas.openxmlformats.org/officeDocument/2006/relationships/hyperlink" Target="https://drive.google.com/drive/folders/14Fo_2lwsBQy25Jniyb1guMhJQaJbGz3h?usp=drive_link" TargetMode="External"/><Relationship Id="rId243" Type="http://schemas.openxmlformats.org/officeDocument/2006/relationships/hyperlink" Target="https://drive.google.com/drive/folders/117bt8aM7_jv0TACviJlyZ2Ehv6QiHrsi?usp=drive_link" TargetMode="External"/><Relationship Id="rId364" Type="http://schemas.openxmlformats.org/officeDocument/2006/relationships/hyperlink" Target="https://drive.google.com/drive/folders/1McbzrDqTW4b6dihj723bDSh_lN12lgLc?usp=drive_link" TargetMode="External"/><Relationship Id="rId95" Type="http://schemas.openxmlformats.org/officeDocument/2006/relationships/hyperlink" Target="https://docs.google.com/document/d/1UtA8XFMGoOtAOPps8vb8rnytilXsAziQ/edit?usp=drive_link&amp;ouid=102226612879501704230&amp;rtpof=true&amp;sd=true" TargetMode="External"/><Relationship Id="rId94" Type="http://schemas.openxmlformats.org/officeDocument/2006/relationships/hyperlink" Target="https://drive.google.com/drive/folders/17u8dPztmB51_Td7DH7vhLYA-ejl8C1or?usp=drive_link" TargetMode="External"/><Relationship Id="rId97" Type="http://schemas.openxmlformats.org/officeDocument/2006/relationships/hyperlink" Target="https://drive.google.com/drive/folders/1iA2coIMOEvTSyDCOWBym6f1Y8MQIpueY?usp=drive_link" TargetMode="External"/><Relationship Id="rId96" Type="http://schemas.openxmlformats.org/officeDocument/2006/relationships/hyperlink" Target="https://drive.google.com/drive/folders/1wl67HGVEaD4PpCovmyQI3PU-LsVvim4i?usp=drive_link" TargetMode="External"/><Relationship Id="rId99" Type="http://schemas.openxmlformats.org/officeDocument/2006/relationships/hyperlink" Target="https://drive.google.com/drive/folders/1BnACBoDLgAySJKF1TWrNf0cKdNL5sTZy?usp=drive_link" TargetMode="External"/><Relationship Id="rId98" Type="http://schemas.openxmlformats.org/officeDocument/2006/relationships/hyperlink" Target="https://docs.google.com/document/d/11ISxYD7Lzuzjh7i33LrpT0ayh3vTlOmg/edit?usp=drive_link&amp;ouid=113810406368108601541&amp;rtpof=true&amp;sd=true" TargetMode="External"/><Relationship Id="rId91" Type="http://schemas.openxmlformats.org/officeDocument/2006/relationships/hyperlink" Target="https://docs.google.com/document/d/1qtfo6XlK0yI5-mHcNs26a0fjV3hjXDY1/edit?usp=drive_link&amp;ouid=113810406368108601541&amp;rtpof=true&amp;sd=true" TargetMode="External"/><Relationship Id="rId90" Type="http://schemas.openxmlformats.org/officeDocument/2006/relationships/hyperlink" Target="https://drive.google.com/drive/folders/1eAHBFxwZJcG3UCbwSV-5WU9wvO-H24d-?usp=drive_link" TargetMode="External"/><Relationship Id="rId93" Type="http://schemas.openxmlformats.org/officeDocument/2006/relationships/hyperlink" Target="https://drive.google.com/drive/folders/1dQ1oPDkZRoFP-u8y9KzHE3MNR5XFnbG7?usp=drive_link" TargetMode="External"/><Relationship Id="rId92" Type="http://schemas.openxmlformats.org/officeDocument/2006/relationships/hyperlink" Target="https://docs.google.com/document/d/177qr6OnAPwSc_b3GgIBbPJb3jB2dOvvQ/edit?usp=drive_link&amp;ouid=113810406368108601541&amp;rtpof=true&amp;sd=true" TargetMode="External"/><Relationship Id="rId118" Type="http://schemas.openxmlformats.org/officeDocument/2006/relationships/hyperlink" Target="https://docs.google.com/document/d/1BcRZuS2iCMyVH4oYXenF0Gok-qV7mO2P/edit?usp=drive_link&amp;ouid=113810406368108601541&amp;rtpof=true&amp;sd=true" TargetMode="External"/><Relationship Id="rId239" Type="http://schemas.openxmlformats.org/officeDocument/2006/relationships/hyperlink" Target="https://docs.google.com/document/d/1gc01X11RS5GK_6MA203riej-1316WkRh/edit?usp=drive_link&amp;ouid=113810406368108601541&amp;rtpof=true&amp;sd=true" TargetMode="External"/><Relationship Id="rId117" Type="http://schemas.openxmlformats.org/officeDocument/2006/relationships/hyperlink" Target="https://docs.google.com/document/d/1Vh_RSx881rm0HGAIqszp8JqdDexTwi7j/edit?usp=drive_link&amp;ouid=113810406368108601541&amp;rtpof=true&amp;sd=true" TargetMode="External"/><Relationship Id="rId238" Type="http://schemas.openxmlformats.org/officeDocument/2006/relationships/hyperlink" Target="https://docs.google.com/document/d/1inaaga2mtwtqWjXeLWGOiZTF8iTfFtda/edit?usp=drive_link&amp;ouid=113810406368108601541&amp;rtpof=true&amp;sd=true" TargetMode="External"/><Relationship Id="rId359" Type="http://schemas.openxmlformats.org/officeDocument/2006/relationships/hyperlink" Target="https://docs.google.com/document/d/1_aoPWQdxRANoI21ig32YGQNNiP6MCEOj/edit?usp=drive_link&amp;ouid=113810406368108601541&amp;rtpof=true&amp;sd=true" TargetMode="External"/><Relationship Id="rId116" Type="http://schemas.openxmlformats.org/officeDocument/2006/relationships/hyperlink" Target="https://drive.google.com/drive/folders/1gNnI5eHjHcTCA86ADDRXCE_D5iJqQdtp?usp=drive_link" TargetMode="External"/><Relationship Id="rId237" Type="http://schemas.openxmlformats.org/officeDocument/2006/relationships/hyperlink" Target="https://drive.google.com/drive/folders/1b556cURoTihpBwT5K2W6Lv7bnMLLzj0M?usp=drive_link" TargetMode="External"/><Relationship Id="rId358" Type="http://schemas.openxmlformats.org/officeDocument/2006/relationships/hyperlink" Target="https://drive.google.com/drive/folders/126hBK16gX7h4BjmssMgy_svtd1I52nBY?usp=drive_link" TargetMode="External"/><Relationship Id="rId115" Type="http://schemas.openxmlformats.org/officeDocument/2006/relationships/hyperlink" Target="https://drive.google.com/drive/folders/1P4vTDaQpF3CAIRIBHz8g2U0CVzh5U_qL?usp=drive_link" TargetMode="External"/><Relationship Id="rId236" Type="http://schemas.openxmlformats.org/officeDocument/2006/relationships/hyperlink" Target="https://docs.google.com/document/d/1HfYaF7bj43wws8_8-HpjZ_G8ss_9O7ZP/edit?usp=drive_link&amp;ouid=113810406368108601541&amp;rtpof=true&amp;sd=true" TargetMode="External"/><Relationship Id="rId357" Type="http://schemas.openxmlformats.org/officeDocument/2006/relationships/hyperlink" Target="https://docs.google.com/document/d/1kQV1siWoZR4l8dMpAz-eGiz_gQvvyp1W/edit?usp=drive_link&amp;ouid=113810406368108601541&amp;rtpof=true&amp;sd=true" TargetMode="External"/><Relationship Id="rId119" Type="http://schemas.openxmlformats.org/officeDocument/2006/relationships/hyperlink" Target="https://drive.google.com/drive/folders/1J0KQ8OChXtFyUsRrqTxBN9VP0Stay7jL?usp=drive_link" TargetMode="External"/><Relationship Id="rId110" Type="http://schemas.openxmlformats.org/officeDocument/2006/relationships/hyperlink" Target="https://drive.google.com/drive/folders/1bgrBEmSP83F5kMsnFNayZk5PPiew9I2P?usp=sharing" TargetMode="External"/><Relationship Id="rId231" Type="http://schemas.openxmlformats.org/officeDocument/2006/relationships/hyperlink" Target="https://docs.google.com/document/d/1WiXzXTNLDFnKfSDieu0D-PSiGBhI1Lbb/edit?usp=drive_link&amp;ouid=113810406368108601541&amp;rtpof=true&amp;sd=true" TargetMode="External"/><Relationship Id="rId352" Type="http://schemas.openxmlformats.org/officeDocument/2006/relationships/hyperlink" Target="https://drive.google.com/drive/folders/1-4Fe-04YF8Aja4eOYnE6F5Icjv0-r68A?usp=drive_link" TargetMode="External"/><Relationship Id="rId230" Type="http://schemas.openxmlformats.org/officeDocument/2006/relationships/hyperlink" Target="https://drive.google.com/file/d/1KDEhrnZ2TtowBXsvsB8g4ZTONXIsSLUu/view?usp=drive_link" TargetMode="External"/><Relationship Id="rId351" Type="http://schemas.openxmlformats.org/officeDocument/2006/relationships/hyperlink" Target="https://docs.google.com/document/d/198Nte3YIURUbl83yjWSCreGZuAbJnPue/edit?usp=drive_link&amp;ouid=113810406368108601541&amp;rtpof=true&amp;sd=true" TargetMode="External"/><Relationship Id="rId350" Type="http://schemas.openxmlformats.org/officeDocument/2006/relationships/hyperlink" Target="https://docs.google.com/document/d/1jT5lzfPgmKkyfNDN5oqx_HHuUg8oLFeK/edit?usp=drive_link&amp;ouid=113810406368108601541&amp;rtpof=true&amp;sd=true" TargetMode="External"/><Relationship Id="rId114" Type="http://schemas.openxmlformats.org/officeDocument/2006/relationships/hyperlink" Target="https://docs.google.com/document/d/1cltMU3Jm2qv50C4luPV-5ACJ9IYU9Npf/edit?usp=drive_link&amp;ouid=113810406368108601541&amp;rtpof=true&amp;sd=true" TargetMode="External"/><Relationship Id="rId235" Type="http://schemas.openxmlformats.org/officeDocument/2006/relationships/hyperlink" Target="https://docs.google.com/document/d/1BPD1WI-cCxiCWQUp2qdmbrTxmyRoeYkF/edit?usp=drive_link&amp;ouid=113810406368108601541&amp;rtpof=true&amp;sd=true" TargetMode="External"/><Relationship Id="rId356" Type="http://schemas.openxmlformats.org/officeDocument/2006/relationships/hyperlink" Target="https://docs.google.com/document/d/1LgSo8vUMPck5DY39FPkjZmHxv3XWkQjt/edit?usp=drive_link&amp;ouid=113810406368108601541&amp;rtpof=true&amp;sd=true" TargetMode="External"/><Relationship Id="rId113" Type="http://schemas.openxmlformats.org/officeDocument/2006/relationships/hyperlink" Target="https://docs.google.com/document/d/1i9HAqUvjV8FvmfUtCA2KcB6_UcMYFaa8/edit?usp=drive_link&amp;ouid=113810406368108601541&amp;rtpof=true&amp;sd=true" TargetMode="External"/><Relationship Id="rId234" Type="http://schemas.openxmlformats.org/officeDocument/2006/relationships/hyperlink" Target="https://drive.google.com/drive/folders/1tquMyntfE5D9x-X8PNm86VbCk-u5-Sz_?usp=drive_link" TargetMode="External"/><Relationship Id="rId355" Type="http://schemas.openxmlformats.org/officeDocument/2006/relationships/hyperlink" Target="https://drive.google.com/drive/folders/10ccxwmVzwbEBqZrkqmSCBB_BIp4YJ9uJ?usp=drive_link" TargetMode="External"/><Relationship Id="rId112" Type="http://schemas.openxmlformats.org/officeDocument/2006/relationships/hyperlink" Target="https://drive.google.com/drive/folders/1ZrrgJLmL8pbpkjTs86kTqWA8FFb8gSXl?usp=drive_link" TargetMode="External"/><Relationship Id="rId233" Type="http://schemas.openxmlformats.org/officeDocument/2006/relationships/hyperlink" Target="https://docs.google.com/document/d/1cg8SgePRI7nfgQDDGk0GOfaHwBQuq-bo/edit?usp=drive_link&amp;ouid=113810406368108601541&amp;rtpof=true&amp;sd=true" TargetMode="External"/><Relationship Id="rId354" Type="http://schemas.openxmlformats.org/officeDocument/2006/relationships/hyperlink" Target="https://docs.google.com/document/d/1Xu0l-w7Es_KCsQOhbhLp9N12uiuywp4M/edit?usp=drive_link&amp;ouid=113810406368108601541&amp;rtpof=true&amp;sd=true" TargetMode="External"/><Relationship Id="rId111" Type="http://schemas.openxmlformats.org/officeDocument/2006/relationships/hyperlink" Target="https://drive.google.com/drive/folders/1Z4sAriFbHvAydGVbYbC8QtRnRkqiGNtw?usp=drive_link" TargetMode="External"/><Relationship Id="rId232" Type="http://schemas.openxmlformats.org/officeDocument/2006/relationships/hyperlink" Target="https://drive.google.com/drive/folders/1q3BH1dsS3SbKdRJr-0_81NOAJus7pBBk?usp=drive_link" TargetMode="External"/><Relationship Id="rId353" Type="http://schemas.openxmlformats.org/officeDocument/2006/relationships/hyperlink" Target="https://docs.google.com/document/d/1DRH3CoQs_1DzyNN_B5jXjN2hFdjpEGza/edit?usp=drive_link&amp;ouid=113810406368108601541&amp;rtpof=true&amp;sd=true" TargetMode="External"/><Relationship Id="rId305" Type="http://schemas.openxmlformats.org/officeDocument/2006/relationships/hyperlink" Target="https://docs.google.com/document/d/1SPo1X4HJ-F0kIrblML09GilKw8veKtRY/edit?usp=drive_link&amp;ouid=113810406368108601541&amp;rtpof=true&amp;sd=true" TargetMode="External"/><Relationship Id="rId304" Type="http://schemas.openxmlformats.org/officeDocument/2006/relationships/hyperlink" Target="https://docs.google.com/document/d/1_Bw-y0649-DhXMQFLx4ntdHue9KkhYV-/edit?usp=drive_link&amp;ouid=113810406368108601541&amp;rtpof=true&amp;sd=true" TargetMode="External"/><Relationship Id="rId303" Type="http://schemas.openxmlformats.org/officeDocument/2006/relationships/hyperlink" Target="https://drive.google.com/drive/folders/1hDGVyI3jPjhApbCSdBOlqjB_Zkqgay2y?usp=drive_link" TargetMode="External"/><Relationship Id="rId302" Type="http://schemas.openxmlformats.org/officeDocument/2006/relationships/hyperlink" Target="https://drive.google.com/drive/folders/1thSaase3lr8_ncy8xI6jN5CX-JIYGLxs?usp=drive_link" TargetMode="External"/><Relationship Id="rId309" Type="http://schemas.openxmlformats.org/officeDocument/2006/relationships/hyperlink" Target="https://drive.google.com/drive/folders/1AjL8d8ccNRrAQxovcqUt8rQsLRJ58Myy?usp=drive_link" TargetMode="External"/><Relationship Id="rId308" Type="http://schemas.openxmlformats.org/officeDocument/2006/relationships/hyperlink" Target="https://docs.google.com/document/d/1OYHYcyr8vzNmP7p1TOwRqlPMRdLTyHpE/edit?usp=drive_link&amp;ouid=113810406368108601541&amp;rtpof=true&amp;sd=true" TargetMode="External"/><Relationship Id="rId307" Type="http://schemas.openxmlformats.org/officeDocument/2006/relationships/hyperlink" Target="https://docs.google.com/document/d/18HeoVxJLHScgE2-LUmgwdtReXM3cynPX/edit?usp=sharing&amp;ouid=113810406368108601541&amp;rtpof=true&amp;sd=true" TargetMode="External"/><Relationship Id="rId306" Type="http://schemas.openxmlformats.org/officeDocument/2006/relationships/hyperlink" Target="https://drive.google.com/drive/folders/1DPMhB_8GDcquw4YaXhL6XW9bmjG4ELzH?usp=drive_link" TargetMode="External"/><Relationship Id="rId301" Type="http://schemas.openxmlformats.org/officeDocument/2006/relationships/hyperlink" Target="https://docs.google.com/document/d/12doLk6epM5_7GIwyDu6JfnGt5cZfHd0n/edit?usp=drive_link&amp;ouid=113810406368108601541&amp;rtpof=true&amp;sd=true" TargetMode="External"/><Relationship Id="rId300" Type="http://schemas.openxmlformats.org/officeDocument/2006/relationships/hyperlink" Target="https://docs.google.com/document/d/1eFiG4WPCuCTSWOLr3VpQOV-cJj-_2KDw/edit?usp=drive_link&amp;ouid=113810406368108601541&amp;rtpof=true&amp;sd=true" TargetMode="External"/><Relationship Id="rId206" Type="http://schemas.openxmlformats.org/officeDocument/2006/relationships/hyperlink" Target="https://drive.google.com/drive/folders/1KDy_8qlSpb0kz9Ck3-ild55wI0mMzqcc?usp=drive_link" TargetMode="External"/><Relationship Id="rId327" Type="http://schemas.openxmlformats.org/officeDocument/2006/relationships/hyperlink" Target="https://drive.google.com/drive/folders/1mM6UN96jXMgu1uP-gLas6s3Hn_MeEiuG?usp=drive_link" TargetMode="External"/><Relationship Id="rId205" Type="http://schemas.openxmlformats.org/officeDocument/2006/relationships/hyperlink" Target="https://docs.google.com/document/d/18n85K0EKlHF9NwrU__zQsVzaCf9VHWK9/edit?usp=drive_link&amp;ouid=113810406368108601541&amp;rtpof=true&amp;sd=true" TargetMode="External"/><Relationship Id="rId326" Type="http://schemas.openxmlformats.org/officeDocument/2006/relationships/hyperlink" Target="https://drive.google.com/drive/folders/1241_EzCcTjEnPWQOD-AY5D51AsmQK5w1?usp=drive_link" TargetMode="External"/><Relationship Id="rId204" Type="http://schemas.openxmlformats.org/officeDocument/2006/relationships/hyperlink" Target="https://drive.google.com/drive/folders/17Ua6UetFyziMxrZufS4Dp-gLDhexiBfB?usp=drive_link" TargetMode="External"/><Relationship Id="rId325" Type="http://schemas.openxmlformats.org/officeDocument/2006/relationships/hyperlink" Target="https://docs.google.com/document/d/138TYGDY3tSr302nHyMYL3z2zopBq_LyR/edit?usp=drive_link&amp;ouid=113810406368108601541&amp;rtpof=true&amp;sd=true" TargetMode="External"/><Relationship Id="rId203" Type="http://schemas.openxmlformats.org/officeDocument/2006/relationships/hyperlink" Target="https://docs.google.com/document/d/1EQEDMJTpeSCa2Tmp_5rw0wCg86vt8x9q/edit?usp=drive_link&amp;ouid=113810406368108601541&amp;rtpof=true&amp;sd=true" TargetMode="External"/><Relationship Id="rId324" Type="http://schemas.openxmlformats.org/officeDocument/2006/relationships/hyperlink" Target="https://docs.google.com/document/d/1W74Y84uOdw0DusgO5xXyPKyNzuGI2MSv/edit?usp=drive_link&amp;ouid=113810406368108601541&amp;rtpof=true&amp;sd=true" TargetMode="External"/><Relationship Id="rId209" Type="http://schemas.openxmlformats.org/officeDocument/2006/relationships/hyperlink" Target="https://docs.google.com/document/d/1ukmdpjMaDgYp2L_Lk4NkYtuJ5ZZnJAie/edit?usp=drive_link&amp;ouid=113810406368108601541&amp;rtpof=true&amp;sd=true" TargetMode="External"/><Relationship Id="rId208" Type="http://schemas.openxmlformats.org/officeDocument/2006/relationships/hyperlink" Target="https://drive.google.com/drive/folders/1L-cyK_L8qMmQZI77K-lMHAoYS_hp_SX3?usp=drive_link" TargetMode="External"/><Relationship Id="rId329" Type="http://schemas.openxmlformats.org/officeDocument/2006/relationships/hyperlink" Target="https://docs.google.com/document/d/1UGmuUFZ7-SRp4rKOSk8RwLWQ8ABfNa2P/edit?usp=drive_link&amp;ouid=113810406368108601541&amp;rtpof=true&amp;sd=true" TargetMode="External"/><Relationship Id="rId207" Type="http://schemas.openxmlformats.org/officeDocument/2006/relationships/hyperlink" Target="https://drive.google.com/drive/folders/1u1NiE-QQMtLNmj3XpW-LAFMc8h0NcNSp?usp=drive_link" TargetMode="External"/><Relationship Id="rId328" Type="http://schemas.openxmlformats.org/officeDocument/2006/relationships/hyperlink" Target="https://docs.google.com/document/d/1nYlePycybTe4BBD8KxK7wuRKhLrby5DCMZsV9u3Z-r4/edit?usp=drive_link" TargetMode="External"/><Relationship Id="rId202" Type="http://schemas.openxmlformats.org/officeDocument/2006/relationships/hyperlink" Target="https://docs.google.com/document/d/1Sy7N37UmNwltaXH_rLmsVKCKDrzZ6pz6zsgW2IlrUcE/edit?usp=drive_link" TargetMode="External"/><Relationship Id="rId323" Type="http://schemas.openxmlformats.org/officeDocument/2006/relationships/hyperlink" Target="https://drive.google.com/drive/folders/1XVXtRHOLhg-MYUzn6TXYMhZAg9-SHQ1m?usp=drive_link" TargetMode="External"/><Relationship Id="rId201" Type="http://schemas.openxmlformats.org/officeDocument/2006/relationships/hyperlink" Target="https://drive.google.com/drive/folders/1I0ful3pyIQxUR-0_Cc2wkdwzGXUZ9DRc?usp=drive_link" TargetMode="External"/><Relationship Id="rId322" Type="http://schemas.openxmlformats.org/officeDocument/2006/relationships/hyperlink" Target="https://docs.google.com/document/d/1P3UGJ1zOqMzZqm3SNYulxocECDfKGR0k/edit?usp=drive_link&amp;ouid=113810406368108601541&amp;rtpof=true&amp;sd=true" TargetMode="External"/><Relationship Id="rId200" Type="http://schemas.openxmlformats.org/officeDocument/2006/relationships/hyperlink" Target="https://docs.google.com/document/d/1EaejGVgWJgZVW6PfzS_E0vEGJqZAVT5P/edit?usp=drive_link&amp;ouid=113810406368108601541&amp;rtpof=true&amp;sd=true" TargetMode="External"/><Relationship Id="rId321" Type="http://schemas.openxmlformats.org/officeDocument/2006/relationships/hyperlink" Target="https://docs.google.com/document/d/1YtV8_OvsNhnZNEPjNZoYkQZlT6YcZzm5/edit?usp=drive_link&amp;ouid=113810406368108601541&amp;rtpof=true&amp;sd=true" TargetMode="External"/><Relationship Id="rId320" Type="http://schemas.openxmlformats.org/officeDocument/2006/relationships/hyperlink" Target="https://drive.google.com/drive/folders/1EZU6bBmeVIGeXEqpj9vBDf3pC1RKoJBt?usp=drive_link" TargetMode="External"/><Relationship Id="rId316" Type="http://schemas.openxmlformats.org/officeDocument/2006/relationships/hyperlink" Target="https://drive.google.com/drive/folders/1FfrFxqQ_bq4ejXGXQ0tS7_yw3uS770Kq?usp=drive_link" TargetMode="External"/><Relationship Id="rId315" Type="http://schemas.openxmlformats.org/officeDocument/2006/relationships/hyperlink" Target="https://docs.google.com/document/d/1DgwOPm1T7kVINbsJw-7s7JBSE3IGkO-A/edit?usp=drive_link&amp;ouid=113810406368108601541&amp;rtpof=true&amp;sd=true" TargetMode="External"/><Relationship Id="rId314" Type="http://schemas.openxmlformats.org/officeDocument/2006/relationships/hyperlink" Target="https://docs.google.com/document/d/1VtSLMmE8EDvoSWwmSaKmnEihJtsQVO-T/edit?usp=drive_link&amp;ouid=113810406368108601541&amp;rtpof=true&amp;sd=true" TargetMode="External"/><Relationship Id="rId313" Type="http://schemas.openxmlformats.org/officeDocument/2006/relationships/hyperlink" Target="https://drive.google.com/drive/folders/1Q5lorpt39YbnhX00Y6_32w_lmj15oqcJ?usp=drive_link" TargetMode="External"/><Relationship Id="rId319" Type="http://schemas.openxmlformats.org/officeDocument/2006/relationships/hyperlink" Target="https://docs.google.com/document/d/1klnioQxPeeNJj9tIkY52g5w9Fa6Wr8nY/edit?usp=drive_link&amp;ouid=113810406368108601541&amp;rtpof=true&amp;sd=true" TargetMode="External"/><Relationship Id="rId318" Type="http://schemas.openxmlformats.org/officeDocument/2006/relationships/hyperlink" Target="https://drive.google.com/file/d/11xUL7Kyk8OCFr92pgtl7c4hmurmpeKaT/view?usp=drive_link" TargetMode="External"/><Relationship Id="rId317" Type="http://schemas.openxmlformats.org/officeDocument/2006/relationships/hyperlink" Target="https://drive.google.com/drive/folders/11kAOC11GY8BoZEcfTylAqitUy1iIs0_r?usp=drive_link" TargetMode="External"/><Relationship Id="rId312" Type="http://schemas.openxmlformats.org/officeDocument/2006/relationships/hyperlink" Target="https://drive.google.com/drive/folders/1MR0Hu5Nu8HXNCPdN67b3MSrHFJ_eISJD?usp=drive_link" TargetMode="External"/><Relationship Id="rId311" Type="http://schemas.openxmlformats.org/officeDocument/2006/relationships/hyperlink" Target="https://docs.google.com/document/d/15NcXj5G9T-KiXH63eZDhtVk_3XlFvNNS/edit?usp=drive_link&amp;ouid=113810406368108601541&amp;rtpof=true&amp;sd=true" TargetMode="External"/><Relationship Id="rId310" Type="http://schemas.openxmlformats.org/officeDocument/2006/relationships/hyperlink" Target="https://docs.google.com/document/d/1umfpLA-bbx8bEWsulLpG1xPEEKN3z86IEvxS3fTbzvU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63"/>
    <col customWidth="1" min="2" max="2" width="28.13"/>
    <col customWidth="1" min="3" max="3" width="14.13"/>
    <col customWidth="1" min="4" max="4" width="13.13"/>
    <col customWidth="1" min="5" max="5" width="7.63"/>
    <col customWidth="1" min="6" max="6" width="18.5"/>
    <col customWidth="1" min="7" max="7" width="15.63"/>
    <col customWidth="1" min="8" max="8" width="18.0"/>
    <col customWidth="1" min="9" max="9" width="14.75"/>
    <col customWidth="1" min="10" max="10" width="17.38"/>
    <col customWidth="1" min="11" max="11" width="12.5"/>
    <col customWidth="1" min="12" max="12" width="25.0"/>
    <col customWidth="1" min="13" max="13" width="18.25"/>
    <col customWidth="1" min="14" max="14" width="15.0"/>
    <col customWidth="1" min="15" max="15" width="16.88"/>
    <col customWidth="1" min="16" max="16" width="15.5"/>
    <col customWidth="1" min="17" max="17" width="22.5"/>
    <col customWidth="1" min="18" max="18" width="19.88"/>
    <col customWidth="1" min="19" max="19" width="12.75"/>
    <col customWidth="1" min="20" max="20" width="2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6" t="s">
        <v>16</v>
      </c>
      <c r="R1" s="7" t="s">
        <v>17</v>
      </c>
      <c r="S1" s="2" t="s">
        <v>18</v>
      </c>
      <c r="T1" s="2" t="s">
        <v>19</v>
      </c>
    </row>
    <row r="2" hidden="1">
      <c r="A2" s="8" t="s">
        <v>20</v>
      </c>
      <c r="B2" s="9" t="s">
        <v>21</v>
      </c>
      <c r="C2" s="10" t="s">
        <v>22</v>
      </c>
      <c r="D2" s="11">
        <v>25986.0</v>
      </c>
      <c r="E2" s="10">
        <f t="shared" ref="E2:E181" si="1">DATEDIF(D2, TODAY(), "Y")</f>
        <v>55</v>
      </c>
      <c r="F2" s="12" t="s">
        <v>23</v>
      </c>
      <c r="G2" s="13" t="s">
        <v>24</v>
      </c>
      <c r="H2" s="10" t="s">
        <v>25</v>
      </c>
      <c r="I2" s="10" t="str">
        <f>IF(OR(H2="Finalizado",H2="Desistência"),"Inativo","Ativo")</f>
        <v>Inativo</v>
      </c>
      <c r="J2" s="10" t="s">
        <v>26</v>
      </c>
      <c r="K2" s="14" t="str">
        <f>IFERROR(__xludf.DUMMYFUNCTION("HYPERLINK(""http://wa.me/55""&amp;REGEXREPLACE(J2,""\D+"",""""),LEFT(L2,FIND("" "",L2) - 1)&amp;"".Wpp"")"),"Alan.Wpp")</f>
        <v>Alan.Wpp</v>
      </c>
      <c r="L2" s="8" t="s">
        <v>20</v>
      </c>
      <c r="M2" s="10" t="s">
        <v>27</v>
      </c>
      <c r="N2" s="15">
        <v>45936.0</v>
      </c>
      <c r="O2" s="16">
        <f>N2+60</f>
        <v>45996</v>
      </c>
      <c r="P2" s="17"/>
      <c r="Q2" s="10" t="s">
        <v>28</v>
      </c>
      <c r="R2" s="18"/>
      <c r="S2" s="10"/>
      <c r="T2" s="10">
        <v>-2026.0</v>
      </c>
    </row>
    <row r="3">
      <c r="A3" s="19" t="s">
        <v>29</v>
      </c>
      <c r="B3" s="19"/>
      <c r="C3" s="20" t="s">
        <v>30</v>
      </c>
      <c r="D3" s="21">
        <v>44422.0</v>
      </c>
      <c r="E3" s="20">
        <f t="shared" si="1"/>
        <v>4</v>
      </c>
      <c r="F3" s="22"/>
      <c r="G3" s="20"/>
      <c r="H3" s="20" t="s">
        <v>31</v>
      </c>
      <c r="I3" s="20" t="s">
        <v>32</v>
      </c>
      <c r="J3" s="20" t="s">
        <v>33</v>
      </c>
      <c r="K3" s="19"/>
      <c r="L3" s="19" t="s">
        <v>34</v>
      </c>
      <c r="M3" s="20" t="s">
        <v>35</v>
      </c>
      <c r="N3" s="21">
        <v>45707.0</v>
      </c>
      <c r="O3" s="20"/>
      <c r="P3" s="23"/>
      <c r="Q3" s="20"/>
      <c r="R3" s="20"/>
      <c r="S3" s="20"/>
      <c r="T3" s="20"/>
    </row>
    <row r="4">
      <c r="A4" s="24" t="s">
        <v>36</v>
      </c>
      <c r="B4" s="9" t="s">
        <v>36</v>
      </c>
      <c r="C4" s="10" t="s">
        <v>30</v>
      </c>
      <c r="D4" s="25">
        <v>13914.0</v>
      </c>
      <c r="E4" s="10">
        <f t="shared" si="1"/>
        <v>88</v>
      </c>
      <c r="F4" s="26"/>
      <c r="G4" s="18"/>
      <c r="H4" s="10" t="s">
        <v>31</v>
      </c>
      <c r="I4" s="10" t="str">
        <f t="shared" ref="I4:I69" si="2">IF(OR(H4="Finalizado",H4="Desistência"),"Inativo","Ativo")</f>
        <v>Ativo</v>
      </c>
      <c r="J4" s="10" t="s">
        <v>37</v>
      </c>
      <c r="K4" s="14" t="str">
        <f>IFERROR(__xludf.DUMMYFUNCTION("HYPERLINK(""http://wa.me/55""&amp;REGEXREPLACE(J4,""\D+"",""""),LEFT(L4,FIND("" "",L4) - 1)&amp;"".Wpp"")"),"Maria.Wpp")</f>
        <v>Maria.Wpp</v>
      </c>
      <c r="L4" s="24" t="s">
        <v>36</v>
      </c>
      <c r="M4" s="18" t="s">
        <v>38</v>
      </c>
      <c r="N4" s="16">
        <v>45856.0</v>
      </c>
      <c r="O4" s="16">
        <f t="shared" ref="O4:O68" si="3">N4+60</f>
        <v>45916</v>
      </c>
      <c r="P4" s="18"/>
      <c r="Q4" s="18" t="s">
        <v>39</v>
      </c>
      <c r="R4" s="27" t="s">
        <v>40</v>
      </c>
      <c r="S4" s="10"/>
      <c r="T4" s="10"/>
    </row>
    <row r="5" hidden="1">
      <c r="A5" s="19" t="s">
        <v>41</v>
      </c>
      <c r="B5" s="28" t="s">
        <v>41</v>
      </c>
      <c r="C5" s="20" t="s">
        <v>30</v>
      </c>
      <c r="D5" s="29">
        <v>42162.0</v>
      </c>
      <c r="E5" s="20">
        <f t="shared" si="1"/>
        <v>10</v>
      </c>
      <c r="F5" s="30" t="s">
        <v>42</v>
      </c>
      <c r="G5" s="23"/>
      <c r="H5" s="20" t="s">
        <v>25</v>
      </c>
      <c r="I5" s="20" t="str">
        <f t="shared" si="2"/>
        <v>Inativo</v>
      </c>
      <c r="J5" s="20" t="s">
        <v>43</v>
      </c>
      <c r="K5" s="31" t="str">
        <f>IFERROR(__xludf.DUMMYFUNCTION("HYPERLINK(""http://wa.me/55""&amp;REGEXREPLACE(J5,""\D+"",""""),LEFT(L5,FIND("" "",L5) - 1)&amp;"".Wpp"")"),"Hélio.Wpp")</f>
        <v>Hélio.Wpp</v>
      </c>
      <c r="L5" s="19" t="s">
        <v>44</v>
      </c>
      <c r="M5" s="23" t="s">
        <v>45</v>
      </c>
      <c r="N5" s="32">
        <v>45775.0</v>
      </c>
      <c r="O5" s="32">
        <f t="shared" si="3"/>
        <v>45835</v>
      </c>
      <c r="P5" s="33">
        <v>45979.0</v>
      </c>
      <c r="Q5" s="23" t="s">
        <v>46</v>
      </c>
      <c r="R5" s="34" t="s">
        <v>47</v>
      </c>
      <c r="S5" s="20"/>
      <c r="T5" s="20" t="s">
        <v>48</v>
      </c>
    </row>
    <row r="6" hidden="1">
      <c r="A6" s="8" t="s">
        <v>49</v>
      </c>
      <c r="B6" s="9" t="s">
        <v>49</v>
      </c>
      <c r="C6" s="10" t="s">
        <v>22</v>
      </c>
      <c r="D6" s="25">
        <v>37081.0</v>
      </c>
      <c r="E6" s="10">
        <f t="shared" si="1"/>
        <v>24</v>
      </c>
      <c r="F6" s="12" t="s">
        <v>50</v>
      </c>
      <c r="G6" s="12" t="s">
        <v>51</v>
      </c>
      <c r="H6" s="10" t="s">
        <v>52</v>
      </c>
      <c r="I6" s="10" t="str">
        <f t="shared" si="2"/>
        <v>Ativo</v>
      </c>
      <c r="J6" s="10" t="s">
        <v>53</v>
      </c>
      <c r="K6" s="14" t="str">
        <f>IFERROR(__xludf.DUMMYFUNCTION("HYPERLINK(""http://wa.me/55""&amp;REGEXREPLACE(J6,""\D+"",""""),LEFT(L6,FIND("" "",L6) - 1)&amp;"".Wpp"")"),"Ana.Wpp")</f>
        <v>Ana.Wpp</v>
      </c>
      <c r="L6" s="35" t="s">
        <v>49</v>
      </c>
      <c r="M6" s="10" t="s">
        <v>54</v>
      </c>
      <c r="N6" s="16">
        <v>45926.0</v>
      </c>
      <c r="O6" s="16">
        <f t="shared" si="3"/>
        <v>45986</v>
      </c>
      <c r="P6" s="17">
        <v>45971.0</v>
      </c>
      <c r="Q6" s="36" t="s">
        <v>55</v>
      </c>
      <c r="R6" s="37" t="s">
        <v>56</v>
      </c>
      <c r="S6" s="10" t="s">
        <v>57</v>
      </c>
      <c r="T6" s="18"/>
    </row>
    <row r="7" hidden="1">
      <c r="A7" s="19" t="s">
        <v>58</v>
      </c>
      <c r="B7" s="28" t="s">
        <v>59</v>
      </c>
      <c r="C7" s="20" t="s">
        <v>22</v>
      </c>
      <c r="D7" s="38">
        <v>32689.0</v>
      </c>
      <c r="E7" s="20">
        <f t="shared" si="1"/>
        <v>36</v>
      </c>
      <c r="F7" s="30" t="s">
        <v>60</v>
      </c>
      <c r="G7" s="39" t="s">
        <v>61</v>
      </c>
      <c r="H7" s="20" t="s">
        <v>25</v>
      </c>
      <c r="I7" s="20" t="str">
        <f t="shared" si="2"/>
        <v>Inativo</v>
      </c>
      <c r="J7" s="20" t="s">
        <v>62</v>
      </c>
      <c r="K7" s="31" t="str">
        <f>IFERROR(__xludf.DUMMYFUNCTION("HYPERLINK(""http://wa.me/55""&amp;REGEXREPLACE(J7,""\D+"",""""),LEFT(L7,FIND("" "",L7) - 1)&amp;"".Wpp"")"),"Ana.Wpp")</f>
        <v>Ana.Wpp</v>
      </c>
      <c r="L7" s="19" t="s">
        <v>58</v>
      </c>
      <c r="M7" s="20" t="s">
        <v>63</v>
      </c>
      <c r="N7" s="33">
        <v>45932.0</v>
      </c>
      <c r="O7" s="32">
        <f t="shared" si="3"/>
        <v>45992</v>
      </c>
      <c r="P7" s="33">
        <v>45994.0</v>
      </c>
      <c r="Q7" s="20" t="s">
        <v>64</v>
      </c>
      <c r="R7" s="23"/>
      <c r="S7" s="19"/>
      <c r="T7" s="19"/>
    </row>
    <row r="8" hidden="1">
      <c r="A8" s="24" t="s">
        <v>65</v>
      </c>
      <c r="B8" s="9" t="s">
        <v>65</v>
      </c>
      <c r="C8" s="10" t="s">
        <v>30</v>
      </c>
      <c r="D8" s="25">
        <v>35387.0</v>
      </c>
      <c r="E8" s="10">
        <f t="shared" si="1"/>
        <v>29</v>
      </c>
      <c r="F8" s="12" t="s">
        <v>66</v>
      </c>
      <c r="G8" s="18"/>
      <c r="H8" s="10" t="s">
        <v>25</v>
      </c>
      <c r="I8" s="10" t="str">
        <f t="shared" si="2"/>
        <v>Inativo</v>
      </c>
      <c r="J8" s="10" t="s">
        <v>67</v>
      </c>
      <c r="K8" s="14" t="str">
        <f>IFERROR(__xludf.DUMMYFUNCTION("HYPERLINK(""http://wa.me/55""&amp;REGEXREPLACE(J8,""\D+"",""""),LEFT(L8,FIND("" "",L8) - 1)&amp;"".Wpp"")"),"Lucimar.Wpp")</f>
        <v>Lucimar.Wpp</v>
      </c>
      <c r="L8" s="24" t="s">
        <v>68</v>
      </c>
      <c r="M8" s="18" t="s">
        <v>69</v>
      </c>
      <c r="N8" s="16">
        <v>45818.0</v>
      </c>
      <c r="O8" s="16">
        <f t="shared" si="3"/>
        <v>45878</v>
      </c>
      <c r="P8" s="17">
        <v>46002.0</v>
      </c>
      <c r="Q8" s="18" t="s">
        <v>70</v>
      </c>
      <c r="R8" s="27" t="s">
        <v>71</v>
      </c>
      <c r="S8" s="8"/>
      <c r="T8" s="8" t="s">
        <v>30</v>
      </c>
    </row>
    <row r="9" hidden="1">
      <c r="A9" s="19" t="s">
        <v>72</v>
      </c>
      <c r="B9" s="28" t="s">
        <v>72</v>
      </c>
      <c r="C9" s="20" t="s">
        <v>30</v>
      </c>
      <c r="D9" s="38">
        <v>33029.0</v>
      </c>
      <c r="E9" s="20">
        <f t="shared" si="1"/>
        <v>35</v>
      </c>
      <c r="F9" s="30" t="s">
        <v>73</v>
      </c>
      <c r="G9" s="20"/>
      <c r="H9" s="20" t="s">
        <v>25</v>
      </c>
      <c r="I9" s="20" t="str">
        <f t="shared" si="2"/>
        <v>Inativo</v>
      </c>
      <c r="J9" s="20" t="s">
        <v>74</v>
      </c>
      <c r="K9" s="31" t="str">
        <f>IFERROR(__xludf.DUMMYFUNCTION("HYPERLINK(""http://wa.me/55""&amp;REGEXREPLACE(J9,""\D+"",""""),LEFT(L9,FIND("" "",L9) - 1)&amp;"".Wpp"")"),"Ana.Wpp")</f>
        <v>Ana.Wpp</v>
      </c>
      <c r="L9" s="19" t="s">
        <v>72</v>
      </c>
      <c r="M9" s="20" t="s">
        <v>54</v>
      </c>
      <c r="N9" s="33">
        <v>45937.0</v>
      </c>
      <c r="O9" s="32">
        <f t="shared" si="3"/>
        <v>45997</v>
      </c>
      <c r="P9" s="23"/>
      <c r="Q9" s="40" t="s">
        <v>75</v>
      </c>
      <c r="R9" s="20">
        <v>1.0789005662E10</v>
      </c>
      <c r="S9" s="20"/>
      <c r="T9" s="20" t="s">
        <v>76</v>
      </c>
    </row>
    <row r="10">
      <c r="A10" s="8" t="s">
        <v>77</v>
      </c>
      <c r="B10" s="9" t="s">
        <v>77</v>
      </c>
      <c r="C10" s="10" t="s">
        <v>30</v>
      </c>
      <c r="D10" s="25">
        <v>44170.0</v>
      </c>
      <c r="E10" s="10">
        <f t="shared" si="1"/>
        <v>5</v>
      </c>
      <c r="F10" s="12" t="s">
        <v>78</v>
      </c>
      <c r="G10" s="18"/>
      <c r="H10" s="10" t="s">
        <v>31</v>
      </c>
      <c r="I10" s="10" t="str">
        <f t="shared" si="2"/>
        <v>Ativo</v>
      </c>
      <c r="J10" s="10" t="s">
        <v>79</v>
      </c>
      <c r="K10" s="14" t="str">
        <f>IFERROR(__xludf.DUMMYFUNCTION("HYPERLINK(""http://wa.me/55""&amp;REGEXREPLACE(J10,""\D+"",""""),LEFT(L10,FIND("" "",L10) - 1)&amp;"".Wpp"")"),"Jéssica.Wpp")</f>
        <v>Jéssica.Wpp</v>
      </c>
      <c r="L10" s="24" t="s">
        <v>80</v>
      </c>
      <c r="M10" s="18" t="s">
        <v>22</v>
      </c>
      <c r="N10" s="17">
        <v>45909.0</v>
      </c>
      <c r="O10" s="16">
        <f t="shared" si="3"/>
        <v>45969</v>
      </c>
      <c r="P10" s="18"/>
      <c r="Q10" s="18" t="s">
        <v>81</v>
      </c>
      <c r="R10" s="18" t="s">
        <v>82</v>
      </c>
      <c r="S10" s="10"/>
      <c r="T10" s="10"/>
    </row>
    <row r="11" hidden="1">
      <c r="A11" s="19" t="s">
        <v>83</v>
      </c>
      <c r="B11" s="28" t="s">
        <v>83</v>
      </c>
      <c r="C11" s="20" t="s">
        <v>38</v>
      </c>
      <c r="D11" s="29">
        <v>26579.0</v>
      </c>
      <c r="E11" s="20">
        <f t="shared" si="1"/>
        <v>53</v>
      </c>
      <c r="F11" s="41"/>
      <c r="G11" s="39" t="s">
        <v>84</v>
      </c>
      <c r="H11" s="20" t="s">
        <v>25</v>
      </c>
      <c r="I11" s="20" t="str">
        <f t="shared" si="2"/>
        <v>Inativo</v>
      </c>
      <c r="J11" s="20" t="s">
        <v>85</v>
      </c>
      <c r="K11" s="31" t="str">
        <f>IFERROR(__xludf.DUMMYFUNCTION("HYPERLINK(""http://wa.me/55""&amp;REGEXREPLACE(J11,""\D+"",""""),LEFT(L11,FIND("" "",L11) - 1)&amp;"".Wpp"")"),"Antônio.Wpp")</f>
        <v>Antônio.Wpp</v>
      </c>
      <c r="L11" s="19" t="s">
        <v>86</v>
      </c>
      <c r="M11" s="23" t="s">
        <v>87</v>
      </c>
      <c r="N11" s="32">
        <v>45800.0</v>
      </c>
      <c r="O11" s="32">
        <f t="shared" si="3"/>
        <v>45860</v>
      </c>
      <c r="P11" s="23"/>
      <c r="Q11" s="23" t="s">
        <v>88</v>
      </c>
      <c r="R11" s="23">
        <v>9.2376240697E10</v>
      </c>
      <c r="S11" s="42"/>
      <c r="T11" s="42"/>
    </row>
    <row r="12" hidden="1">
      <c r="A12" s="8" t="s">
        <v>89</v>
      </c>
      <c r="B12" s="9" t="s">
        <v>89</v>
      </c>
      <c r="C12" s="10" t="s">
        <v>22</v>
      </c>
      <c r="D12" s="25">
        <v>41928.0</v>
      </c>
      <c r="E12" s="10">
        <f t="shared" si="1"/>
        <v>11</v>
      </c>
      <c r="F12" s="12" t="s">
        <v>90</v>
      </c>
      <c r="G12" s="12" t="s">
        <v>91</v>
      </c>
      <c r="H12" s="10" t="s">
        <v>25</v>
      </c>
      <c r="I12" s="10" t="str">
        <f t="shared" si="2"/>
        <v>Inativo</v>
      </c>
      <c r="J12" s="10" t="s">
        <v>92</v>
      </c>
      <c r="K12" s="14" t="str">
        <f>IFERROR(__xludf.DUMMYFUNCTION("HYPERLINK(""http://wa.me/55""&amp;REGEXREPLACE(J12,""\D+"",""""),LEFT(L12,FIND("" "",L12) - 1)&amp;"".Wpp"")"),"Alessandra.Wpp")</f>
        <v>Alessandra.Wpp</v>
      </c>
      <c r="L12" s="24" t="s">
        <v>93</v>
      </c>
      <c r="M12" s="18" t="s">
        <v>94</v>
      </c>
      <c r="N12" s="16">
        <v>45730.0</v>
      </c>
      <c r="O12" s="16">
        <f t="shared" si="3"/>
        <v>45790</v>
      </c>
      <c r="P12" s="17">
        <v>45971.0</v>
      </c>
      <c r="Q12" s="18" t="s">
        <v>95</v>
      </c>
      <c r="R12" s="27" t="s">
        <v>96</v>
      </c>
      <c r="S12" s="10"/>
      <c r="T12" s="10"/>
    </row>
    <row r="13" hidden="1">
      <c r="A13" s="19" t="s">
        <v>97</v>
      </c>
      <c r="B13" s="28" t="s">
        <v>97</v>
      </c>
      <c r="C13" s="20" t="s">
        <v>22</v>
      </c>
      <c r="D13" s="29">
        <v>42538.0</v>
      </c>
      <c r="E13" s="20">
        <f t="shared" si="1"/>
        <v>9</v>
      </c>
      <c r="F13" s="41"/>
      <c r="G13" s="30" t="s">
        <v>98</v>
      </c>
      <c r="H13" s="20" t="s">
        <v>25</v>
      </c>
      <c r="I13" s="20" t="str">
        <f t="shared" si="2"/>
        <v>Inativo</v>
      </c>
      <c r="J13" s="20" t="s">
        <v>99</v>
      </c>
      <c r="K13" s="31" t="str">
        <f>IFERROR(__xludf.DUMMYFUNCTION("HYPERLINK(""http://wa.me/55""&amp;REGEXREPLACE(J13,""\D+"",""""),LEFT(L13,FIND("" "",L13) - 1)&amp;"".Wpp"")"),"Maria.Wpp")</f>
        <v>Maria.Wpp</v>
      </c>
      <c r="L13" s="42" t="s">
        <v>100</v>
      </c>
      <c r="M13" s="23" t="s">
        <v>101</v>
      </c>
      <c r="N13" s="32">
        <v>45789.0</v>
      </c>
      <c r="O13" s="32">
        <f t="shared" si="3"/>
        <v>45849</v>
      </c>
      <c r="P13" s="33">
        <v>45980.0</v>
      </c>
      <c r="Q13" s="20" t="s">
        <v>57</v>
      </c>
      <c r="R13" s="23" t="s">
        <v>102</v>
      </c>
      <c r="S13" s="20"/>
      <c r="T13" s="20" t="s">
        <v>103</v>
      </c>
    </row>
    <row r="14">
      <c r="A14" s="8" t="s">
        <v>104</v>
      </c>
      <c r="B14" s="9" t="s">
        <v>104</v>
      </c>
      <c r="C14" s="10" t="s">
        <v>22</v>
      </c>
      <c r="D14" s="11">
        <v>43591.0</v>
      </c>
      <c r="E14" s="10">
        <f t="shared" si="1"/>
        <v>6</v>
      </c>
      <c r="F14" s="12" t="s">
        <v>105</v>
      </c>
      <c r="G14" s="12" t="s">
        <v>106</v>
      </c>
      <c r="H14" s="10" t="s">
        <v>31</v>
      </c>
      <c r="I14" s="10" t="str">
        <f t="shared" si="2"/>
        <v>Ativo</v>
      </c>
      <c r="J14" s="10" t="s">
        <v>107</v>
      </c>
      <c r="K14" s="14" t="str">
        <f>IFERROR(__xludf.DUMMYFUNCTION("HYPERLINK(""http://wa.me/55""&amp;REGEXREPLACE(J14,""\D+"",""""),LEFT(L14,FIND("" "",L14) - 1)&amp;"".Wpp"")"),"Alexandre.Wpp")</f>
        <v>Alexandre.Wpp</v>
      </c>
      <c r="L14" s="35" t="s">
        <v>108</v>
      </c>
      <c r="M14" s="10" t="s">
        <v>54</v>
      </c>
      <c r="N14" s="17">
        <v>45917.0</v>
      </c>
      <c r="O14" s="16">
        <f t="shared" si="3"/>
        <v>45977</v>
      </c>
      <c r="P14" s="16"/>
      <c r="Q14" s="43" t="s">
        <v>109</v>
      </c>
      <c r="R14" s="37" t="s">
        <v>110</v>
      </c>
      <c r="S14" s="10" t="s">
        <v>111</v>
      </c>
      <c r="T14" s="10" t="s">
        <v>112</v>
      </c>
    </row>
    <row r="15">
      <c r="A15" s="19" t="s">
        <v>113</v>
      </c>
      <c r="B15" s="28" t="s">
        <v>113</v>
      </c>
      <c r="C15" s="20" t="s">
        <v>30</v>
      </c>
      <c r="D15" s="38">
        <v>28772.0</v>
      </c>
      <c r="E15" s="20">
        <f t="shared" si="1"/>
        <v>47</v>
      </c>
      <c r="F15" s="22"/>
      <c r="G15" s="20"/>
      <c r="H15" s="20" t="s">
        <v>31</v>
      </c>
      <c r="I15" s="20" t="str">
        <f t="shared" si="2"/>
        <v>Ativo</v>
      </c>
      <c r="J15" s="20" t="s">
        <v>114</v>
      </c>
      <c r="K15" s="31" t="str">
        <f>IFERROR(__xludf.DUMMYFUNCTION("HYPERLINK(""http://wa.me/55""&amp;REGEXREPLACE(J15,""\D+"",""""),LEFT(L15,FIND("" "",L15) - 1)&amp;"".Wpp"")"),"Sarah.Wpp")</f>
        <v>Sarah.Wpp</v>
      </c>
      <c r="L15" s="19" t="s">
        <v>113</v>
      </c>
      <c r="M15" s="20" t="s">
        <v>54</v>
      </c>
      <c r="N15" s="33">
        <v>45924.0</v>
      </c>
      <c r="O15" s="32">
        <f t="shared" si="3"/>
        <v>45984</v>
      </c>
      <c r="P15" s="23"/>
      <c r="Q15" s="20" t="s">
        <v>115</v>
      </c>
      <c r="R15" s="20">
        <v>3.811677632E9</v>
      </c>
      <c r="S15" s="20"/>
      <c r="T15" s="20"/>
    </row>
    <row r="16">
      <c r="A16" s="8" t="s">
        <v>116</v>
      </c>
      <c r="B16" s="9" t="s">
        <v>116</v>
      </c>
      <c r="C16" s="10" t="s">
        <v>30</v>
      </c>
      <c r="D16" s="11">
        <v>41977.0</v>
      </c>
      <c r="E16" s="10">
        <f t="shared" si="1"/>
        <v>11</v>
      </c>
      <c r="F16" s="44"/>
      <c r="G16" s="18"/>
      <c r="H16" s="10" t="s">
        <v>31</v>
      </c>
      <c r="I16" s="10" t="str">
        <f t="shared" si="2"/>
        <v>Ativo</v>
      </c>
      <c r="J16" s="10" t="s">
        <v>117</v>
      </c>
      <c r="K16" s="14" t="str">
        <f>IFERROR(__xludf.DUMMYFUNCTION("HYPERLINK(""http://wa.me/55""&amp;REGEXREPLACE(J16,""\D+"",""""),LEFT(L16,FIND("" "",L16) - 1)&amp;"".Wpp"")"),"Tatielle.Wpp")</f>
        <v>Tatielle.Wpp</v>
      </c>
      <c r="L16" s="8" t="s">
        <v>118</v>
      </c>
      <c r="M16" s="10" t="s">
        <v>69</v>
      </c>
      <c r="N16" s="17">
        <v>45947.0</v>
      </c>
      <c r="O16" s="16">
        <f t="shared" si="3"/>
        <v>46007</v>
      </c>
      <c r="P16" s="17"/>
      <c r="Q16" s="10" t="s">
        <v>119</v>
      </c>
      <c r="R16" s="10">
        <v>1.2279799677E10</v>
      </c>
      <c r="S16" s="10"/>
      <c r="T16" s="10"/>
    </row>
    <row r="17" hidden="1">
      <c r="A17" s="19" t="s">
        <v>120</v>
      </c>
      <c r="B17" s="28" t="s">
        <v>120</v>
      </c>
      <c r="C17" s="20" t="s">
        <v>38</v>
      </c>
      <c r="D17" s="29">
        <v>42107.0</v>
      </c>
      <c r="E17" s="20">
        <f t="shared" si="1"/>
        <v>10</v>
      </c>
      <c r="F17" s="30" t="s">
        <v>121</v>
      </c>
      <c r="G17" s="39" t="s">
        <v>122</v>
      </c>
      <c r="H17" s="23" t="s">
        <v>25</v>
      </c>
      <c r="I17" s="20" t="str">
        <f t="shared" si="2"/>
        <v>Inativo</v>
      </c>
      <c r="J17" s="20" t="s">
        <v>123</v>
      </c>
      <c r="K17" s="31" t="str">
        <f>IFERROR(__xludf.DUMMYFUNCTION("HYPERLINK(""http://wa.me/55""&amp;REGEXREPLACE(J17,""\D+"",""""),LEFT(L17,FIND("" "",L17) - 1)&amp;"".Wpp"")"),"Carlos.Wpp")</f>
        <v>Carlos.Wpp</v>
      </c>
      <c r="L17" s="42" t="s">
        <v>124</v>
      </c>
      <c r="M17" s="23" t="s">
        <v>94</v>
      </c>
      <c r="N17" s="32">
        <v>45730.0</v>
      </c>
      <c r="O17" s="32">
        <f t="shared" si="3"/>
        <v>45790</v>
      </c>
      <c r="P17" s="23"/>
      <c r="Q17" s="23" t="s">
        <v>125</v>
      </c>
      <c r="R17" s="34" t="s">
        <v>126</v>
      </c>
      <c r="S17" s="42"/>
      <c r="T17" s="42"/>
    </row>
    <row r="18" hidden="1">
      <c r="A18" s="8" t="s">
        <v>127</v>
      </c>
      <c r="B18" s="9" t="s">
        <v>128</v>
      </c>
      <c r="C18" s="10" t="s">
        <v>22</v>
      </c>
      <c r="D18" s="11">
        <v>42967.0</v>
      </c>
      <c r="E18" s="10">
        <f t="shared" si="1"/>
        <v>8</v>
      </c>
      <c r="F18" s="12" t="s">
        <v>129</v>
      </c>
      <c r="G18" s="12" t="s">
        <v>130</v>
      </c>
      <c r="H18" s="10" t="s">
        <v>52</v>
      </c>
      <c r="I18" s="10" t="str">
        <f t="shared" si="2"/>
        <v>Ativo</v>
      </c>
      <c r="J18" s="10" t="s">
        <v>131</v>
      </c>
      <c r="K18" s="14" t="str">
        <f>IFERROR(__xludf.DUMMYFUNCTION("HYPERLINK(""http://wa.me/55""&amp;REGEXREPLACE(J18,""\D+"",""""),LEFT(L18,FIND("" "",L18) - 1)&amp;"".Wpp"")"),"Lorena.Wpp")</f>
        <v>Lorena.Wpp</v>
      </c>
      <c r="L18" s="35" t="s">
        <v>132</v>
      </c>
      <c r="M18" s="10" t="s">
        <v>54</v>
      </c>
      <c r="N18" s="17">
        <v>45980.0</v>
      </c>
      <c r="O18" s="16">
        <f t="shared" si="3"/>
        <v>46040</v>
      </c>
      <c r="P18" s="16"/>
      <c r="Q18" s="43" t="s">
        <v>133</v>
      </c>
      <c r="R18" s="37" t="s">
        <v>134</v>
      </c>
      <c r="S18" s="10" t="s">
        <v>57</v>
      </c>
      <c r="T18" s="10"/>
    </row>
    <row r="19">
      <c r="A19" s="19" t="s">
        <v>135</v>
      </c>
      <c r="B19" s="28" t="s">
        <v>135</v>
      </c>
      <c r="C19" s="20" t="s">
        <v>22</v>
      </c>
      <c r="D19" s="38">
        <v>25423.0</v>
      </c>
      <c r="E19" s="20">
        <f t="shared" si="1"/>
        <v>56</v>
      </c>
      <c r="F19" s="30" t="s">
        <v>136</v>
      </c>
      <c r="G19" s="30" t="s">
        <v>137</v>
      </c>
      <c r="H19" s="20" t="s">
        <v>31</v>
      </c>
      <c r="I19" s="20" t="str">
        <f t="shared" si="2"/>
        <v>Ativo</v>
      </c>
      <c r="J19" s="20" t="s">
        <v>138</v>
      </c>
      <c r="K19" s="31" t="str">
        <f>IFERROR(__xludf.DUMMYFUNCTION("HYPERLINK(""http://wa.me/55""&amp;REGEXREPLACE(J19,""\D+"",""""),LEFT(L19,FIND("" "",L19) - 1)&amp;"".Wpp"")"),"Vanessa.Wpp")</f>
        <v>Vanessa.Wpp</v>
      </c>
      <c r="L19" s="45" t="s">
        <v>135</v>
      </c>
      <c r="M19" s="20" t="s">
        <v>139</v>
      </c>
      <c r="N19" s="33">
        <v>45952.0</v>
      </c>
      <c r="O19" s="32">
        <f t="shared" si="3"/>
        <v>46012</v>
      </c>
      <c r="P19" s="33"/>
      <c r="Q19" s="46" t="s">
        <v>140</v>
      </c>
      <c r="R19" s="47" t="s">
        <v>141</v>
      </c>
      <c r="S19" s="20" t="s">
        <v>142</v>
      </c>
      <c r="T19" s="20" t="s">
        <v>112</v>
      </c>
    </row>
    <row r="20" hidden="1">
      <c r="A20" s="8" t="s">
        <v>143</v>
      </c>
      <c r="B20" s="9" t="s">
        <v>143</v>
      </c>
      <c r="C20" s="10" t="s">
        <v>22</v>
      </c>
      <c r="D20" s="25">
        <v>37723.0</v>
      </c>
      <c r="E20" s="10">
        <f t="shared" si="1"/>
        <v>22</v>
      </c>
      <c r="F20" s="12" t="s">
        <v>144</v>
      </c>
      <c r="G20" s="10"/>
      <c r="H20" s="10" t="s">
        <v>25</v>
      </c>
      <c r="I20" s="10" t="str">
        <f t="shared" si="2"/>
        <v>Inativo</v>
      </c>
      <c r="J20" s="10" t="s">
        <v>145</v>
      </c>
      <c r="K20" s="14" t="str">
        <f>IFERROR(__xludf.DUMMYFUNCTION("HYPERLINK(""http://wa.me/55""&amp;REGEXREPLACE(J20,""\D+"",""""),LEFT(L20,FIND("" "",L20) - 1)&amp;"".Wpp"")"),"Bianca.Wpp")</f>
        <v>Bianca.Wpp</v>
      </c>
      <c r="L20" s="24" t="s">
        <v>146</v>
      </c>
      <c r="M20" s="10" t="s">
        <v>54</v>
      </c>
      <c r="N20" s="16">
        <v>45889.0</v>
      </c>
      <c r="O20" s="16">
        <f t="shared" si="3"/>
        <v>45949</v>
      </c>
      <c r="P20" s="17">
        <v>45994.0</v>
      </c>
      <c r="Q20" s="18" t="s">
        <v>147</v>
      </c>
      <c r="R20" s="18">
        <v>1.6083375614E10</v>
      </c>
      <c r="S20" s="24"/>
      <c r="T20" s="24"/>
    </row>
    <row r="21" hidden="1">
      <c r="A21" s="19" t="s">
        <v>148</v>
      </c>
      <c r="B21" s="28" t="s">
        <v>148</v>
      </c>
      <c r="C21" s="20" t="s">
        <v>22</v>
      </c>
      <c r="D21" s="29">
        <v>42491.0</v>
      </c>
      <c r="E21" s="20">
        <f t="shared" si="1"/>
        <v>9</v>
      </c>
      <c r="F21" s="30" t="s">
        <v>149</v>
      </c>
      <c r="G21" s="39" t="s">
        <v>150</v>
      </c>
      <c r="H21" s="20" t="s">
        <v>25</v>
      </c>
      <c r="I21" s="20" t="str">
        <f t="shared" si="2"/>
        <v>Inativo</v>
      </c>
      <c r="J21" s="20" t="s">
        <v>151</v>
      </c>
      <c r="K21" s="31" t="str">
        <f>IFERROR(__xludf.DUMMYFUNCTION("HYPERLINK(""http://wa.me/55""&amp;REGEXREPLACE(J21,""\D+"",""""),LEFT(L21,FIND("" "",L21) - 1)&amp;"".Wpp"")"),"Beatriz.Wpp")</f>
        <v>Beatriz.Wpp</v>
      </c>
      <c r="L21" s="42" t="s">
        <v>152</v>
      </c>
      <c r="M21" s="23" t="s">
        <v>69</v>
      </c>
      <c r="N21" s="32">
        <v>45888.0</v>
      </c>
      <c r="O21" s="32">
        <f t="shared" si="3"/>
        <v>45948</v>
      </c>
      <c r="P21" s="32"/>
      <c r="Q21" s="23" t="s">
        <v>153</v>
      </c>
      <c r="R21" s="23" t="s">
        <v>154</v>
      </c>
      <c r="S21" s="42"/>
      <c r="T21" s="42"/>
    </row>
    <row r="22">
      <c r="A22" s="8" t="s">
        <v>155</v>
      </c>
      <c r="B22" s="9" t="s">
        <v>156</v>
      </c>
      <c r="C22" s="10" t="s">
        <v>30</v>
      </c>
      <c r="D22" s="11">
        <v>40423.0</v>
      </c>
      <c r="E22" s="10">
        <f t="shared" si="1"/>
        <v>15</v>
      </c>
      <c r="F22" s="12" t="s">
        <v>157</v>
      </c>
      <c r="G22" s="10"/>
      <c r="H22" s="10" t="s">
        <v>31</v>
      </c>
      <c r="I22" s="10" t="str">
        <f t="shared" si="2"/>
        <v>Ativo</v>
      </c>
      <c r="J22" s="10" t="s">
        <v>158</v>
      </c>
      <c r="K22" s="14" t="str">
        <f>IFERROR(__xludf.DUMMYFUNCTION("HYPERLINK(""http://wa.me/55""&amp;REGEXREPLACE(J22,""\D+"",""""),LEFT(L22,FIND("" "",L22) - 1)&amp;"".Wpp"")"),"Vanessa.Wpp")</f>
        <v>Vanessa.Wpp</v>
      </c>
      <c r="L22" s="8" t="s">
        <v>159</v>
      </c>
      <c r="M22" s="18"/>
      <c r="N22" s="17">
        <v>45954.0</v>
      </c>
      <c r="O22" s="16">
        <f t="shared" si="3"/>
        <v>46014</v>
      </c>
      <c r="P22" s="18"/>
      <c r="Q22" s="10" t="s">
        <v>160</v>
      </c>
      <c r="R22" s="10">
        <v>4.481778628E9</v>
      </c>
      <c r="S22" s="10"/>
      <c r="T22" s="10"/>
    </row>
    <row r="23" hidden="1">
      <c r="A23" s="19" t="s">
        <v>161</v>
      </c>
      <c r="B23" s="28" t="s">
        <v>162</v>
      </c>
      <c r="C23" s="20" t="s">
        <v>30</v>
      </c>
      <c r="D23" s="38">
        <v>35668.0</v>
      </c>
      <c r="E23" s="20">
        <f t="shared" si="1"/>
        <v>28</v>
      </c>
      <c r="F23" s="30" t="s">
        <v>163</v>
      </c>
      <c r="G23" s="23"/>
      <c r="H23" s="20" t="s">
        <v>25</v>
      </c>
      <c r="I23" s="20" t="str">
        <f t="shared" si="2"/>
        <v>Inativo</v>
      </c>
      <c r="J23" s="20" t="s">
        <v>164</v>
      </c>
      <c r="K23" s="31" t="str">
        <f>IFERROR(__xludf.DUMMYFUNCTION("HYPERLINK(""http://wa.me/55""&amp;REGEXREPLACE(J23,""\D+"",""""),LEFT(L23,FIND("" "",L23) - 1)&amp;"".Wpp"")"),"Mônica.Wpp")</f>
        <v>Mônica.Wpp</v>
      </c>
      <c r="L23" s="19" t="s">
        <v>165</v>
      </c>
      <c r="M23" s="20" t="s">
        <v>54</v>
      </c>
      <c r="N23" s="33">
        <v>45933.0</v>
      </c>
      <c r="O23" s="32">
        <f t="shared" si="3"/>
        <v>45993</v>
      </c>
      <c r="P23" s="23"/>
      <c r="Q23" s="20" t="s">
        <v>166</v>
      </c>
      <c r="R23" s="20">
        <v>7.4393782615E10</v>
      </c>
      <c r="S23" s="20"/>
      <c r="T23" s="20"/>
    </row>
    <row r="24" hidden="1">
      <c r="A24" s="24" t="s">
        <v>167</v>
      </c>
      <c r="B24" s="9" t="s">
        <v>167</v>
      </c>
      <c r="C24" s="10" t="s">
        <v>22</v>
      </c>
      <c r="D24" s="25">
        <v>28424.0</v>
      </c>
      <c r="E24" s="10">
        <f t="shared" si="1"/>
        <v>48</v>
      </c>
      <c r="F24" s="26"/>
      <c r="G24" s="13" t="s">
        <v>168</v>
      </c>
      <c r="H24" s="10" t="s">
        <v>25</v>
      </c>
      <c r="I24" s="10" t="str">
        <f t="shared" si="2"/>
        <v>Inativo</v>
      </c>
      <c r="J24" s="10" t="s">
        <v>169</v>
      </c>
      <c r="K24" s="14" t="str">
        <f>IFERROR(__xludf.DUMMYFUNCTION("HYPERLINK(""http://wa.me/55""&amp;REGEXREPLACE(J24,""\D+"",""""),LEFT(L24,FIND("" "",L24) - 1)&amp;"".Wpp"")"),"Bruna.Wpp")</f>
        <v>Bruna.Wpp</v>
      </c>
      <c r="L24" s="8" t="s">
        <v>167</v>
      </c>
      <c r="M24" s="18" t="s">
        <v>87</v>
      </c>
      <c r="N24" s="48">
        <v>45856.0</v>
      </c>
      <c r="O24" s="16">
        <f t="shared" si="3"/>
        <v>45916</v>
      </c>
      <c r="P24" s="18"/>
      <c r="Q24" s="18" t="s">
        <v>170</v>
      </c>
      <c r="R24" s="27" t="s">
        <v>171</v>
      </c>
      <c r="S24" s="24"/>
      <c r="T24" s="24"/>
    </row>
    <row r="25" hidden="1">
      <c r="A25" s="19" t="s">
        <v>172</v>
      </c>
      <c r="B25" s="28" t="s">
        <v>172</v>
      </c>
      <c r="C25" s="20" t="s">
        <v>30</v>
      </c>
      <c r="D25" s="38">
        <v>43525.0</v>
      </c>
      <c r="E25" s="20">
        <f t="shared" si="1"/>
        <v>7</v>
      </c>
      <c r="F25" s="30" t="s">
        <v>173</v>
      </c>
      <c r="G25" s="23"/>
      <c r="H25" s="20" t="s">
        <v>25</v>
      </c>
      <c r="I25" s="20" t="str">
        <f t="shared" si="2"/>
        <v>Inativo</v>
      </c>
      <c r="J25" s="20" t="s">
        <v>174</v>
      </c>
      <c r="K25" s="31" t="str">
        <f>IFERROR(__xludf.DUMMYFUNCTION("HYPERLINK(""http://wa.me/55""&amp;REGEXREPLACE(J25,""\D+"",""""),LEFT(L25,FIND("" "",L25) - 1)&amp;"".Wpp"")"),"Thalita.Wpp")</f>
        <v>Thalita.Wpp</v>
      </c>
      <c r="L25" s="19" t="s">
        <v>175</v>
      </c>
      <c r="M25" s="20" t="s">
        <v>54</v>
      </c>
      <c r="N25" s="33">
        <v>45923.0</v>
      </c>
      <c r="O25" s="32">
        <f t="shared" si="3"/>
        <v>45983</v>
      </c>
      <c r="P25" s="23"/>
      <c r="Q25" s="40" t="s">
        <v>176</v>
      </c>
      <c r="R25" s="20">
        <v>9.37982962E9</v>
      </c>
      <c r="S25" s="20"/>
      <c r="T25" s="20" t="s">
        <v>177</v>
      </c>
    </row>
    <row r="26" hidden="1">
      <c r="A26" s="8" t="s">
        <v>178</v>
      </c>
      <c r="B26" s="9" t="s">
        <v>178</v>
      </c>
      <c r="C26" s="10" t="s">
        <v>22</v>
      </c>
      <c r="D26" s="25">
        <v>27841.0</v>
      </c>
      <c r="E26" s="10">
        <f t="shared" si="1"/>
        <v>49</v>
      </c>
      <c r="F26" s="26"/>
      <c r="G26" s="18"/>
      <c r="H26" s="10" t="s">
        <v>25</v>
      </c>
      <c r="I26" s="10" t="str">
        <f t="shared" si="2"/>
        <v>Inativo</v>
      </c>
      <c r="J26" s="10" t="s">
        <v>179</v>
      </c>
      <c r="K26" s="14" t="str">
        <f>IFERROR(__xludf.DUMMYFUNCTION("HYPERLINK(""http://wa.me/55""&amp;REGEXREPLACE(J26,""\D+"",""""),LEFT(L26,FIND("" "",L26) - 1)&amp;"".Wpp"")"),"Carlos.Wpp")</f>
        <v>Carlos.Wpp</v>
      </c>
      <c r="L26" s="24" t="s">
        <v>180</v>
      </c>
      <c r="M26" s="10" t="s">
        <v>54</v>
      </c>
      <c r="N26" s="16">
        <v>45901.0</v>
      </c>
      <c r="O26" s="16">
        <f t="shared" si="3"/>
        <v>45961</v>
      </c>
      <c r="P26" s="49">
        <v>46006.0</v>
      </c>
      <c r="Q26" s="18" t="s">
        <v>181</v>
      </c>
      <c r="R26" s="18" t="s">
        <v>182</v>
      </c>
      <c r="S26" s="24"/>
      <c r="T26" s="24"/>
    </row>
    <row r="27" hidden="1">
      <c r="A27" s="42" t="s">
        <v>183</v>
      </c>
      <c r="B27" s="28" t="s">
        <v>183</v>
      </c>
      <c r="C27" s="20" t="s">
        <v>38</v>
      </c>
      <c r="D27" s="29">
        <v>41605.0</v>
      </c>
      <c r="E27" s="20">
        <f t="shared" si="1"/>
        <v>12</v>
      </c>
      <c r="F27" s="30" t="s">
        <v>184</v>
      </c>
      <c r="G27" s="39" t="s">
        <v>185</v>
      </c>
      <c r="H27" s="20" t="s">
        <v>25</v>
      </c>
      <c r="I27" s="20" t="str">
        <f t="shared" si="2"/>
        <v>Inativo</v>
      </c>
      <c r="J27" s="20" t="s">
        <v>186</v>
      </c>
      <c r="K27" s="31" t="str">
        <f>IFERROR(__xludf.DUMMYFUNCTION("HYPERLINK(""http://wa.me/55""&amp;REGEXREPLACE(J27,""\D+"",""""),LEFT(L27,FIND("" "",L27) - 1)&amp;"".Wpp"")"),"Daiana.Wpp")</f>
        <v>Daiana.Wpp</v>
      </c>
      <c r="L27" s="42" t="s">
        <v>187</v>
      </c>
      <c r="M27" s="23" t="s">
        <v>101</v>
      </c>
      <c r="N27" s="32">
        <v>45786.0</v>
      </c>
      <c r="O27" s="32">
        <f t="shared" si="3"/>
        <v>45846</v>
      </c>
      <c r="P27" s="23"/>
      <c r="Q27" s="23" t="s">
        <v>188</v>
      </c>
      <c r="R27" s="34" t="s">
        <v>189</v>
      </c>
      <c r="S27" s="42"/>
      <c r="T27" s="42"/>
    </row>
    <row r="28" hidden="1">
      <c r="A28" s="24" t="s">
        <v>190</v>
      </c>
      <c r="B28" s="9" t="s">
        <v>190</v>
      </c>
      <c r="C28" s="10" t="s">
        <v>38</v>
      </c>
      <c r="D28" s="25">
        <v>27065.0</v>
      </c>
      <c r="E28" s="10">
        <f t="shared" si="1"/>
        <v>52</v>
      </c>
      <c r="F28" s="12" t="s">
        <v>191</v>
      </c>
      <c r="G28" s="13" t="s">
        <v>192</v>
      </c>
      <c r="H28" s="18" t="s">
        <v>25</v>
      </c>
      <c r="I28" s="10" t="str">
        <f t="shared" si="2"/>
        <v>Inativo</v>
      </c>
      <c r="J28" s="10" t="s">
        <v>193</v>
      </c>
      <c r="K28" s="14" t="str">
        <f>IFERROR(__xludf.DUMMYFUNCTION("HYPERLINK(""http://wa.me/55""&amp;REGEXREPLACE(J28,""\D+"",""""),LEFT(L28,FIND("" "",L28) - 1)&amp;"".Wpp"")"),"Charles.Wpp")</f>
        <v>Charles.Wpp</v>
      </c>
      <c r="L28" s="24" t="s">
        <v>190</v>
      </c>
      <c r="M28" s="18" t="s">
        <v>101</v>
      </c>
      <c r="N28" s="16">
        <v>45740.0</v>
      </c>
      <c r="O28" s="16">
        <f t="shared" si="3"/>
        <v>45800</v>
      </c>
      <c r="P28" s="18"/>
      <c r="Q28" s="18" t="s">
        <v>194</v>
      </c>
      <c r="R28" s="18">
        <v>9.6096551653E10</v>
      </c>
      <c r="S28" s="24"/>
      <c r="T28" s="24"/>
    </row>
    <row r="29" hidden="1">
      <c r="A29" s="19" t="s">
        <v>195</v>
      </c>
      <c r="B29" s="28" t="s">
        <v>195</v>
      </c>
      <c r="C29" s="20" t="s">
        <v>22</v>
      </c>
      <c r="D29" s="29">
        <v>25734.0</v>
      </c>
      <c r="E29" s="20">
        <f t="shared" si="1"/>
        <v>55</v>
      </c>
      <c r="F29" s="30" t="s">
        <v>196</v>
      </c>
      <c r="G29" s="39" t="s">
        <v>197</v>
      </c>
      <c r="H29" s="20" t="s">
        <v>25</v>
      </c>
      <c r="I29" s="20" t="str">
        <f t="shared" si="2"/>
        <v>Inativo</v>
      </c>
      <c r="J29" s="20" t="s">
        <v>198</v>
      </c>
      <c r="K29" s="31" t="str">
        <f>IFERROR(__xludf.DUMMYFUNCTION("HYPERLINK(""http://wa.me/55""&amp;REGEXREPLACE(J29,""\D+"",""""),LEFT(L29,FIND("" "",L29) - 1)&amp;"".Wpp"")"),"Clóvis.Wpp")</f>
        <v>Clóvis.Wpp</v>
      </c>
      <c r="L29" s="42" t="s">
        <v>199</v>
      </c>
      <c r="M29" s="23" t="s">
        <v>200</v>
      </c>
      <c r="N29" s="32">
        <v>45791.0</v>
      </c>
      <c r="O29" s="32">
        <f t="shared" si="3"/>
        <v>45851</v>
      </c>
      <c r="P29" s="33">
        <v>45986.0</v>
      </c>
      <c r="Q29" s="23" t="s">
        <v>201</v>
      </c>
      <c r="R29" s="23">
        <v>5.9491914553E10</v>
      </c>
      <c r="S29" s="20"/>
      <c r="T29" s="20"/>
    </row>
    <row r="30" hidden="1">
      <c r="A30" s="8" t="s">
        <v>202</v>
      </c>
      <c r="B30" s="9" t="s">
        <v>202</v>
      </c>
      <c r="C30" s="10" t="s">
        <v>30</v>
      </c>
      <c r="D30" s="25">
        <v>35779.0</v>
      </c>
      <c r="E30" s="10">
        <f t="shared" si="1"/>
        <v>28</v>
      </c>
      <c r="F30" s="12" t="s">
        <v>203</v>
      </c>
      <c r="G30" s="10"/>
      <c r="H30" s="10" t="s">
        <v>25</v>
      </c>
      <c r="I30" s="10" t="str">
        <f t="shared" si="2"/>
        <v>Inativo</v>
      </c>
      <c r="J30" s="10" t="s">
        <v>204</v>
      </c>
      <c r="K30" s="14" t="str">
        <f>IFERROR(__xludf.DUMMYFUNCTION("HYPERLINK(""http://wa.me/55""&amp;REGEXREPLACE(J30,""\D+"",""""),LEFT(L30,FIND("" "",L30) - 1)&amp;"".Wpp"")"),"Marta.Wpp")</f>
        <v>Marta.Wpp</v>
      </c>
      <c r="L30" s="24" t="s">
        <v>205</v>
      </c>
      <c r="M30" s="18" t="s">
        <v>38</v>
      </c>
      <c r="N30" s="16">
        <v>45757.0</v>
      </c>
      <c r="O30" s="16">
        <f t="shared" si="3"/>
        <v>45817</v>
      </c>
      <c r="P30" s="18"/>
      <c r="Q30" s="18" t="s">
        <v>206</v>
      </c>
      <c r="R30" s="18" t="s">
        <v>207</v>
      </c>
      <c r="S30" s="10"/>
      <c r="T30" s="10" t="s">
        <v>208</v>
      </c>
    </row>
    <row r="31" hidden="1">
      <c r="A31" s="19" t="s">
        <v>209</v>
      </c>
      <c r="B31" s="28" t="s">
        <v>209</v>
      </c>
      <c r="C31" s="20" t="s">
        <v>22</v>
      </c>
      <c r="D31" s="29">
        <v>41491.0</v>
      </c>
      <c r="E31" s="20">
        <f t="shared" si="1"/>
        <v>12</v>
      </c>
      <c r="F31" s="30" t="s">
        <v>210</v>
      </c>
      <c r="G31" s="23"/>
      <c r="H31" s="20" t="s">
        <v>25</v>
      </c>
      <c r="I31" s="20" t="str">
        <f t="shared" si="2"/>
        <v>Inativo</v>
      </c>
      <c r="J31" s="20" t="s">
        <v>211</v>
      </c>
      <c r="K31" s="31" t="str">
        <f>IFERROR(__xludf.DUMMYFUNCTION("HYPERLINK(""http://wa.me/55""&amp;REGEXREPLACE(J31,""\D+"",""""),LEFT(L31,FIND("" "",L31) - 1)&amp;"".Wpp"")"),"Talita.Wpp")</f>
        <v>Talita.Wpp</v>
      </c>
      <c r="L31" s="19" t="s">
        <v>212</v>
      </c>
      <c r="M31" s="23" t="s">
        <v>69</v>
      </c>
      <c r="N31" s="32">
        <v>45817.0</v>
      </c>
      <c r="O31" s="32">
        <f t="shared" si="3"/>
        <v>45877</v>
      </c>
      <c r="P31" s="23"/>
      <c r="Q31" s="23" t="s">
        <v>213</v>
      </c>
      <c r="R31" s="34" t="s">
        <v>214</v>
      </c>
      <c r="S31" s="42"/>
      <c r="T31" s="42"/>
    </row>
    <row r="32" hidden="1">
      <c r="A32" s="8" t="s">
        <v>215</v>
      </c>
      <c r="B32" s="9" t="s">
        <v>215</v>
      </c>
      <c r="C32" s="10" t="s">
        <v>38</v>
      </c>
      <c r="D32" s="25">
        <v>39401.0</v>
      </c>
      <c r="E32" s="10">
        <f t="shared" si="1"/>
        <v>18</v>
      </c>
      <c r="F32" s="26"/>
      <c r="G32" s="18"/>
      <c r="H32" s="10" t="s">
        <v>25</v>
      </c>
      <c r="I32" s="10" t="str">
        <f t="shared" si="2"/>
        <v>Inativo</v>
      </c>
      <c r="J32" s="10" t="s">
        <v>216</v>
      </c>
      <c r="K32" s="14" t="str">
        <f>IFERROR(__xludf.DUMMYFUNCTION("HYPERLINK(""http://wa.me/55""&amp;REGEXREPLACE(J32,""\D+"",""""),LEFT(L32,FIND("" "",L32) - 1)&amp;"".Wpp"")"),"Natália.Wpp")</f>
        <v>Natália.Wpp</v>
      </c>
      <c r="L32" s="8" t="s">
        <v>217</v>
      </c>
      <c r="M32" s="18" t="s">
        <v>87</v>
      </c>
      <c r="N32" s="16">
        <v>45790.0</v>
      </c>
      <c r="O32" s="16">
        <f t="shared" si="3"/>
        <v>45850</v>
      </c>
      <c r="P32" s="18"/>
      <c r="Q32" s="18" t="s">
        <v>218</v>
      </c>
      <c r="R32" s="18" t="s">
        <v>219</v>
      </c>
      <c r="S32" s="24"/>
      <c r="T32" s="24"/>
    </row>
    <row r="33" hidden="1">
      <c r="A33" s="19" t="s">
        <v>220</v>
      </c>
      <c r="B33" s="28" t="s">
        <v>220</v>
      </c>
      <c r="C33" s="20" t="s">
        <v>22</v>
      </c>
      <c r="D33" s="38">
        <v>32080.0</v>
      </c>
      <c r="E33" s="20">
        <f t="shared" si="1"/>
        <v>38</v>
      </c>
      <c r="F33" s="30" t="s">
        <v>221</v>
      </c>
      <c r="G33" s="39" t="s">
        <v>222</v>
      </c>
      <c r="H33" s="20" t="s">
        <v>25</v>
      </c>
      <c r="I33" s="20" t="str">
        <f t="shared" si="2"/>
        <v>Inativo</v>
      </c>
      <c r="J33" s="20" t="s">
        <v>223</v>
      </c>
      <c r="K33" s="31" t="str">
        <f>IFERROR(__xludf.DUMMYFUNCTION("HYPERLINK(""http://wa.me/55""&amp;REGEXREPLACE(J33,""\D+"",""""),LEFT(L33,FIND("" "",L33) - 1)&amp;"".Wpp"")"),"Daniela.Wpp")</f>
        <v>Daniela.Wpp</v>
      </c>
      <c r="L33" s="19" t="s">
        <v>220</v>
      </c>
      <c r="M33" s="20" t="s">
        <v>27</v>
      </c>
      <c r="N33" s="33">
        <v>45936.0</v>
      </c>
      <c r="O33" s="32">
        <f t="shared" si="3"/>
        <v>45996</v>
      </c>
      <c r="P33" s="23"/>
      <c r="Q33" s="20" t="s">
        <v>224</v>
      </c>
      <c r="R33" s="20">
        <v>8.055943613E9</v>
      </c>
      <c r="S33" s="20"/>
      <c r="T33" s="20" t="s">
        <v>225</v>
      </c>
    </row>
    <row r="34" hidden="1">
      <c r="A34" s="8" t="s">
        <v>226</v>
      </c>
      <c r="B34" s="9" t="s">
        <v>226</v>
      </c>
      <c r="C34" s="10" t="s">
        <v>38</v>
      </c>
      <c r="D34" s="25">
        <v>30390.0</v>
      </c>
      <c r="E34" s="10">
        <f t="shared" si="1"/>
        <v>42</v>
      </c>
      <c r="F34" s="12" t="s">
        <v>227</v>
      </c>
      <c r="G34" s="13" t="s">
        <v>228</v>
      </c>
      <c r="H34" s="18" t="s">
        <v>25</v>
      </c>
      <c r="I34" s="10" t="str">
        <f t="shared" si="2"/>
        <v>Inativo</v>
      </c>
      <c r="J34" s="10" t="s">
        <v>229</v>
      </c>
      <c r="K34" s="14" t="str">
        <f>IFERROR(__xludf.DUMMYFUNCTION("HYPERLINK(""http://wa.me/55""&amp;REGEXREPLACE(J34,""\D+"",""""),LEFT(L34,FIND("" "",L34) - 1)&amp;"".Wpp"")"),"Luiz.Wpp")</f>
        <v>Luiz.Wpp</v>
      </c>
      <c r="L34" s="24" t="s">
        <v>230</v>
      </c>
      <c r="M34" s="18" t="s">
        <v>231</v>
      </c>
      <c r="N34" s="16">
        <v>45748.0</v>
      </c>
      <c r="O34" s="16">
        <f t="shared" si="3"/>
        <v>45808</v>
      </c>
      <c r="P34" s="18"/>
      <c r="Q34" s="18" t="s">
        <v>232</v>
      </c>
      <c r="R34" s="18"/>
      <c r="S34" s="24"/>
      <c r="T34" s="24"/>
    </row>
    <row r="35" hidden="1">
      <c r="A35" s="19" t="s">
        <v>233</v>
      </c>
      <c r="B35" s="28" t="s">
        <v>234</v>
      </c>
      <c r="C35" s="20" t="s">
        <v>30</v>
      </c>
      <c r="D35" s="38">
        <v>39533.0</v>
      </c>
      <c r="E35" s="20">
        <f t="shared" si="1"/>
        <v>17</v>
      </c>
      <c r="F35" s="30" t="s">
        <v>235</v>
      </c>
      <c r="G35" s="39" t="s">
        <v>236</v>
      </c>
      <c r="H35" s="20" t="s">
        <v>25</v>
      </c>
      <c r="I35" s="20" t="str">
        <f t="shared" si="2"/>
        <v>Inativo</v>
      </c>
      <c r="J35" s="20" t="s">
        <v>237</v>
      </c>
      <c r="K35" s="31" t="str">
        <f>IFERROR(__xludf.DUMMYFUNCTION("HYPERLINK(""http://wa.me/55""&amp;REGEXREPLACE(J35,""\D+"",""""),LEFT(L35,FIND("" "",L35) - 1)&amp;"".Wpp"")"),"Ingrid.Wpp")</f>
        <v>Ingrid.Wpp</v>
      </c>
      <c r="L35" s="19" t="s">
        <v>238</v>
      </c>
      <c r="M35" s="23"/>
      <c r="N35" s="33">
        <v>45936.0</v>
      </c>
      <c r="O35" s="32">
        <f t="shared" si="3"/>
        <v>45996</v>
      </c>
      <c r="P35" s="23"/>
      <c r="Q35" s="20" t="s">
        <v>239</v>
      </c>
      <c r="R35" s="20" t="s">
        <v>240</v>
      </c>
      <c r="S35" s="20"/>
      <c r="T35" s="20" t="s">
        <v>241</v>
      </c>
    </row>
    <row r="36" hidden="1">
      <c r="A36" s="8" t="s">
        <v>242</v>
      </c>
      <c r="B36" s="9" t="s">
        <v>242</v>
      </c>
      <c r="C36" s="10" t="s">
        <v>22</v>
      </c>
      <c r="D36" s="11">
        <v>40196.0</v>
      </c>
      <c r="E36" s="10">
        <f t="shared" si="1"/>
        <v>16</v>
      </c>
      <c r="F36" s="44"/>
      <c r="G36" s="12" t="s">
        <v>243</v>
      </c>
      <c r="H36" s="10" t="s">
        <v>52</v>
      </c>
      <c r="I36" s="10" t="str">
        <f t="shared" si="2"/>
        <v>Ativo</v>
      </c>
      <c r="J36" s="10" t="s">
        <v>244</v>
      </c>
      <c r="K36" s="14" t="str">
        <f>IFERROR(__xludf.DUMMYFUNCTION("HYPERLINK(""http://wa.me/55""&amp;REGEXREPLACE(J36,""\D+"",""""),LEFT(L36,FIND("" "",L36) - 1)&amp;"".Wpp"")"),"Cristiane.Wpp")</f>
        <v>Cristiane.Wpp</v>
      </c>
      <c r="L36" s="35" t="s">
        <v>245</v>
      </c>
      <c r="M36" s="10" t="s">
        <v>54</v>
      </c>
      <c r="N36" s="17">
        <v>46000.0</v>
      </c>
      <c r="O36" s="16">
        <f t="shared" si="3"/>
        <v>46060</v>
      </c>
      <c r="P36" s="17"/>
      <c r="Q36" s="43" t="s">
        <v>246</v>
      </c>
      <c r="R36" s="37" t="s">
        <v>247</v>
      </c>
      <c r="S36" s="10" t="s">
        <v>57</v>
      </c>
      <c r="T36" s="8"/>
    </row>
    <row r="37" hidden="1">
      <c r="A37" s="19" t="s">
        <v>248</v>
      </c>
      <c r="B37" s="28" t="s">
        <v>248</v>
      </c>
      <c r="C37" s="20" t="s">
        <v>22</v>
      </c>
      <c r="D37" s="29">
        <v>43484.0</v>
      </c>
      <c r="E37" s="20">
        <f t="shared" si="1"/>
        <v>7</v>
      </c>
      <c r="F37" s="41"/>
      <c r="G37" s="23"/>
      <c r="H37" s="20" t="s">
        <v>25</v>
      </c>
      <c r="I37" s="20" t="str">
        <f t="shared" si="2"/>
        <v>Inativo</v>
      </c>
      <c r="J37" s="20" t="s">
        <v>249</v>
      </c>
      <c r="K37" s="31" t="str">
        <f>IFERROR(__xludf.DUMMYFUNCTION("HYPERLINK(""http://wa.me/55""&amp;REGEXREPLACE(J37,""\D+"",""""),LEFT(L37,FIND("" "",L37) - 1)&amp;"".Wpp"")"),"Luana.Wpp")</f>
        <v>Luana.Wpp</v>
      </c>
      <c r="L37" s="42" t="s">
        <v>250</v>
      </c>
      <c r="M37" s="23" t="s">
        <v>45</v>
      </c>
      <c r="N37" s="32">
        <v>45782.0</v>
      </c>
      <c r="O37" s="32">
        <f t="shared" si="3"/>
        <v>45842</v>
      </c>
      <c r="P37" s="23"/>
      <c r="Q37" s="23" t="s">
        <v>251</v>
      </c>
      <c r="R37" s="34" t="s">
        <v>252</v>
      </c>
      <c r="S37" s="42"/>
      <c r="T37" s="42"/>
    </row>
    <row r="38" hidden="1">
      <c r="A38" s="24" t="s">
        <v>253</v>
      </c>
      <c r="B38" s="9" t="s">
        <v>253</v>
      </c>
      <c r="C38" s="10" t="s">
        <v>30</v>
      </c>
      <c r="D38" s="25">
        <v>42818.0</v>
      </c>
      <c r="E38" s="10">
        <f t="shared" si="1"/>
        <v>8</v>
      </c>
      <c r="F38" s="26"/>
      <c r="G38" s="18"/>
      <c r="H38" s="10" t="s">
        <v>25</v>
      </c>
      <c r="I38" s="10" t="str">
        <f t="shared" si="2"/>
        <v>Inativo</v>
      </c>
      <c r="J38" s="10" t="s">
        <v>254</v>
      </c>
      <c r="K38" s="14" t="str">
        <f>IFERROR(__xludf.DUMMYFUNCTION("HYPERLINK(""http://wa.me/55""&amp;REGEXREPLACE(J38,""\D+"",""""),LEFT(L38,FIND("" "",L38) - 1)&amp;"".Wpp"")"),"Simone.Wpp")</f>
        <v>Simone.Wpp</v>
      </c>
      <c r="L38" s="24" t="s">
        <v>255</v>
      </c>
      <c r="M38" s="18" t="s">
        <v>256</v>
      </c>
      <c r="N38" s="16">
        <v>45805.0</v>
      </c>
      <c r="O38" s="16">
        <f t="shared" si="3"/>
        <v>45865</v>
      </c>
      <c r="P38" s="10" t="s">
        <v>257</v>
      </c>
      <c r="Q38" s="18" t="s">
        <v>258</v>
      </c>
      <c r="R38" s="27" t="s">
        <v>259</v>
      </c>
      <c r="S38" s="10"/>
      <c r="T38" s="10" t="s">
        <v>260</v>
      </c>
    </row>
    <row r="39" hidden="1">
      <c r="A39" s="42" t="s">
        <v>261</v>
      </c>
      <c r="B39" s="28" t="s">
        <v>261</v>
      </c>
      <c r="C39" s="20" t="s">
        <v>38</v>
      </c>
      <c r="D39" s="29">
        <v>30379.0</v>
      </c>
      <c r="E39" s="20">
        <f t="shared" si="1"/>
        <v>43</v>
      </c>
      <c r="F39" s="30" t="s">
        <v>262</v>
      </c>
      <c r="G39" s="39" t="s">
        <v>263</v>
      </c>
      <c r="H39" s="23" t="s">
        <v>25</v>
      </c>
      <c r="I39" s="20" t="str">
        <f t="shared" si="2"/>
        <v>Inativo</v>
      </c>
      <c r="J39" s="20" t="s">
        <v>264</v>
      </c>
      <c r="K39" s="31" t="str">
        <f>IFERROR(__xludf.DUMMYFUNCTION("HYPERLINK(""http://wa.me/55""&amp;REGEXREPLACE(J39,""\D+"",""""),LEFT(L39,FIND("" "",L39) - 1)&amp;"".Wpp"")"),"Elen.Wpp")</f>
        <v>Elen.Wpp</v>
      </c>
      <c r="L39" s="42" t="s">
        <v>261</v>
      </c>
      <c r="M39" s="23" t="s">
        <v>256</v>
      </c>
      <c r="N39" s="32">
        <v>45798.0</v>
      </c>
      <c r="O39" s="32">
        <f t="shared" si="3"/>
        <v>45858</v>
      </c>
      <c r="P39" s="23"/>
      <c r="Q39" s="23" t="s">
        <v>265</v>
      </c>
      <c r="R39" s="34" t="s">
        <v>266</v>
      </c>
      <c r="S39" s="42"/>
      <c r="T39" s="42"/>
    </row>
    <row r="40" hidden="1">
      <c r="A40" s="8" t="s">
        <v>267</v>
      </c>
      <c r="B40" s="9" t="s">
        <v>267</v>
      </c>
      <c r="C40" s="10" t="s">
        <v>38</v>
      </c>
      <c r="D40" s="25">
        <v>33770.0</v>
      </c>
      <c r="E40" s="10">
        <f t="shared" si="1"/>
        <v>33</v>
      </c>
      <c r="F40" s="12" t="s">
        <v>268</v>
      </c>
      <c r="G40" s="13" t="s">
        <v>269</v>
      </c>
      <c r="H40" s="18" t="s">
        <v>25</v>
      </c>
      <c r="I40" s="10" t="str">
        <f t="shared" si="2"/>
        <v>Inativo</v>
      </c>
      <c r="J40" s="10" t="s">
        <v>270</v>
      </c>
      <c r="K40" s="14" t="str">
        <f>IFERROR(__xludf.DUMMYFUNCTION("HYPERLINK(""http://wa.me/55""&amp;REGEXREPLACE(J40,""\D+"",""""),LEFT(L40,FIND("" "",L40) - 1)&amp;"".Wpp"")"),"Douglas.Wpp")</f>
        <v>Douglas.Wpp</v>
      </c>
      <c r="L40" s="24" t="s">
        <v>271</v>
      </c>
      <c r="M40" s="18" t="s">
        <v>38</v>
      </c>
      <c r="N40" s="16">
        <v>45785.0</v>
      </c>
      <c r="O40" s="16">
        <f t="shared" si="3"/>
        <v>45845</v>
      </c>
      <c r="P40" s="18"/>
      <c r="Q40" s="18" t="s">
        <v>272</v>
      </c>
      <c r="R40" s="18">
        <v>1.0149776659E10</v>
      </c>
      <c r="S40" s="24"/>
      <c r="T40" s="24"/>
    </row>
    <row r="41">
      <c r="A41" s="19" t="s">
        <v>273</v>
      </c>
      <c r="B41" s="28" t="s">
        <v>274</v>
      </c>
      <c r="C41" s="20" t="s">
        <v>30</v>
      </c>
      <c r="D41" s="38">
        <v>42419.0</v>
      </c>
      <c r="E41" s="20">
        <f t="shared" si="1"/>
        <v>10</v>
      </c>
      <c r="F41" s="30" t="s">
        <v>275</v>
      </c>
      <c r="G41" s="20"/>
      <c r="H41" s="20" t="s">
        <v>31</v>
      </c>
      <c r="I41" s="20" t="str">
        <f t="shared" si="2"/>
        <v>Ativo</v>
      </c>
      <c r="J41" s="20" t="s">
        <v>276</v>
      </c>
      <c r="K41" s="31" t="str">
        <f>IFERROR(__xludf.DUMMYFUNCTION("HYPERLINK(""http://wa.me/55""&amp;REGEXREPLACE(J41,""\D+"",""""),LEFT(L41,FIND("" "",L41) - 1)&amp;"".Wpp"")"),"Roney.Wpp")</f>
        <v>Roney.Wpp</v>
      </c>
      <c r="L41" s="19" t="s">
        <v>277</v>
      </c>
      <c r="M41" s="23"/>
      <c r="N41" s="33">
        <v>45972.0</v>
      </c>
      <c r="O41" s="32">
        <f t="shared" si="3"/>
        <v>46032</v>
      </c>
      <c r="P41" s="23"/>
      <c r="Q41" s="20" t="s">
        <v>278</v>
      </c>
      <c r="R41" s="20">
        <v>6.934031601E9</v>
      </c>
      <c r="S41" s="20"/>
      <c r="T41" s="20"/>
    </row>
    <row r="42" hidden="1">
      <c r="A42" s="24" t="s">
        <v>279</v>
      </c>
      <c r="B42" s="9" t="s">
        <v>279</v>
      </c>
      <c r="C42" s="10" t="s">
        <v>30</v>
      </c>
      <c r="D42" s="25">
        <v>43056.0</v>
      </c>
      <c r="E42" s="10">
        <f t="shared" si="1"/>
        <v>8</v>
      </c>
      <c r="F42" s="26"/>
      <c r="G42" s="18"/>
      <c r="H42" s="10" t="s">
        <v>25</v>
      </c>
      <c r="I42" s="10" t="str">
        <f t="shared" si="2"/>
        <v>Inativo</v>
      </c>
      <c r="J42" s="10" t="s">
        <v>117</v>
      </c>
      <c r="K42" s="14" t="str">
        <f>IFERROR(__xludf.DUMMYFUNCTION("HYPERLINK(""http://wa.me/55""&amp;REGEXREPLACE(J42,""\D+"",""""),LEFT(L42,FIND("" "",L42) - 1)&amp;"".Wpp"")"),"Tatielle.Wpp")</f>
        <v>Tatielle.Wpp</v>
      </c>
      <c r="L42" s="8" t="s">
        <v>118</v>
      </c>
      <c r="M42" s="18" t="s">
        <v>69</v>
      </c>
      <c r="N42" s="16">
        <v>45806.0</v>
      </c>
      <c r="O42" s="16">
        <f t="shared" si="3"/>
        <v>45866</v>
      </c>
      <c r="P42" s="17">
        <v>46000.0</v>
      </c>
      <c r="Q42" s="18" t="s">
        <v>119</v>
      </c>
      <c r="R42" s="18">
        <v>1.2279799677E10</v>
      </c>
      <c r="S42" s="8"/>
      <c r="T42" s="8" t="s">
        <v>30</v>
      </c>
    </row>
    <row r="43" hidden="1">
      <c r="A43" s="19" t="s">
        <v>280</v>
      </c>
      <c r="B43" s="28" t="s">
        <v>280</v>
      </c>
      <c r="C43" s="20" t="s">
        <v>22</v>
      </c>
      <c r="D43" s="29">
        <v>42048.0</v>
      </c>
      <c r="E43" s="20">
        <f t="shared" si="1"/>
        <v>11</v>
      </c>
      <c r="F43" s="30" t="s">
        <v>281</v>
      </c>
      <c r="G43" s="39" t="s">
        <v>282</v>
      </c>
      <c r="H43" s="20" t="s">
        <v>25</v>
      </c>
      <c r="I43" s="20" t="str">
        <f t="shared" si="2"/>
        <v>Inativo</v>
      </c>
      <c r="J43" s="20" t="s">
        <v>283</v>
      </c>
      <c r="K43" s="31" t="str">
        <f>IFERROR(__xludf.DUMMYFUNCTION("HYPERLINK(""http://wa.me/55""&amp;REGEXREPLACE(J43,""\D+"",""""),LEFT(L43,FIND("" "",L43) - 1)&amp;"".Wpp"")"),"Luciene.Wpp")</f>
        <v>Luciene.Wpp</v>
      </c>
      <c r="L43" s="42" t="s">
        <v>284</v>
      </c>
      <c r="M43" s="23" t="s">
        <v>256</v>
      </c>
      <c r="N43" s="32">
        <v>45783.0</v>
      </c>
      <c r="O43" s="32">
        <f t="shared" si="3"/>
        <v>45843</v>
      </c>
      <c r="P43" s="23"/>
      <c r="Q43" s="23" t="s">
        <v>285</v>
      </c>
      <c r="R43" s="23" t="s">
        <v>286</v>
      </c>
      <c r="S43" s="42"/>
      <c r="T43" s="42"/>
    </row>
    <row r="44">
      <c r="A44" s="8" t="s">
        <v>287</v>
      </c>
      <c r="B44" s="9" t="s">
        <v>287</v>
      </c>
      <c r="C44" s="10" t="s">
        <v>30</v>
      </c>
      <c r="D44" s="11">
        <v>44727.0</v>
      </c>
      <c r="E44" s="10">
        <f t="shared" si="1"/>
        <v>3</v>
      </c>
      <c r="F44" s="26"/>
      <c r="G44" s="10"/>
      <c r="H44" s="10" t="s">
        <v>31</v>
      </c>
      <c r="I44" s="10" t="str">
        <f t="shared" si="2"/>
        <v>Ativo</v>
      </c>
      <c r="J44" s="10" t="s">
        <v>288</v>
      </c>
      <c r="K44" s="14" t="str">
        <f>IFERROR(__xludf.DUMMYFUNCTION("HYPERLINK(""http://wa.me/55""&amp;REGEXREPLACE(J44,""\D+"",""""),LEFT(L44,FIND("" "",L44) - 1)&amp;"".Wpp"")"),"Nicolas.Wpp")</f>
        <v>Nicolas.Wpp</v>
      </c>
      <c r="L44" s="8" t="s">
        <v>289</v>
      </c>
      <c r="M44" s="18"/>
      <c r="N44" s="17">
        <v>45974.0</v>
      </c>
      <c r="O44" s="16">
        <f t="shared" si="3"/>
        <v>46034</v>
      </c>
      <c r="P44" s="18"/>
      <c r="Q44" s="10" t="s">
        <v>290</v>
      </c>
      <c r="R44" s="10" t="s">
        <v>291</v>
      </c>
      <c r="S44" s="10"/>
      <c r="T44" s="10"/>
    </row>
    <row r="45">
      <c r="A45" s="19" t="s">
        <v>292</v>
      </c>
      <c r="B45" s="28" t="s">
        <v>293</v>
      </c>
      <c r="C45" s="20" t="s">
        <v>30</v>
      </c>
      <c r="D45" s="38">
        <v>43107.0</v>
      </c>
      <c r="E45" s="20">
        <f t="shared" si="1"/>
        <v>8</v>
      </c>
      <c r="F45" s="30" t="s">
        <v>275</v>
      </c>
      <c r="G45" s="20"/>
      <c r="H45" s="20" t="s">
        <v>31</v>
      </c>
      <c r="I45" s="20" t="str">
        <f t="shared" si="2"/>
        <v>Ativo</v>
      </c>
      <c r="J45" s="20" t="s">
        <v>294</v>
      </c>
      <c r="K45" s="31" t="str">
        <f>IFERROR(__xludf.DUMMYFUNCTION("HYPERLINK(""http://wa.me/55""&amp;REGEXREPLACE(J45,""\D+"",""""),LEFT(L45,FIND("" "",L45) - 1)&amp;"".Wpp"")"),"Marcos.Wpp")</f>
        <v>Marcos.Wpp</v>
      </c>
      <c r="L45" s="19" t="s">
        <v>295</v>
      </c>
      <c r="M45" s="20" t="s">
        <v>54</v>
      </c>
      <c r="N45" s="33">
        <v>45985.0</v>
      </c>
      <c r="O45" s="32">
        <f t="shared" si="3"/>
        <v>46045</v>
      </c>
      <c r="P45" s="23"/>
      <c r="Q45" s="20" t="s">
        <v>296</v>
      </c>
      <c r="R45" s="20">
        <v>7.371036638E9</v>
      </c>
      <c r="S45" s="20"/>
      <c r="T45" s="20"/>
    </row>
    <row r="46">
      <c r="A46" s="8" t="s">
        <v>297</v>
      </c>
      <c r="B46" s="9" t="s">
        <v>298</v>
      </c>
      <c r="C46" s="10" t="s">
        <v>30</v>
      </c>
      <c r="D46" s="11">
        <v>41170.0</v>
      </c>
      <c r="E46" s="10">
        <f t="shared" si="1"/>
        <v>13</v>
      </c>
      <c r="F46" s="44"/>
      <c r="G46" s="10"/>
      <c r="H46" s="10" t="s">
        <v>31</v>
      </c>
      <c r="I46" s="10" t="str">
        <f t="shared" si="2"/>
        <v>Ativo</v>
      </c>
      <c r="J46" s="10" t="s">
        <v>299</v>
      </c>
      <c r="K46" s="14" t="str">
        <f>IFERROR(__xludf.DUMMYFUNCTION("HYPERLINK(""http://wa.me/55""&amp;REGEXREPLACE(J46,""\D+"",""""),LEFT(L46,FIND("" "",L46) - 1)&amp;"".Wpp"")"),"Yaksibith.Wpp")</f>
        <v>Yaksibith.Wpp</v>
      </c>
      <c r="L46" s="8" t="s">
        <v>300</v>
      </c>
      <c r="M46" s="18"/>
      <c r="N46" s="17">
        <v>45993.0</v>
      </c>
      <c r="O46" s="16">
        <f t="shared" si="3"/>
        <v>46053</v>
      </c>
      <c r="P46" s="18"/>
      <c r="Q46" s="10" t="s">
        <v>301</v>
      </c>
      <c r="R46" s="10" t="s">
        <v>302</v>
      </c>
      <c r="S46" s="24"/>
      <c r="T46" s="24"/>
    </row>
    <row r="47" hidden="1">
      <c r="A47" s="42" t="s">
        <v>303</v>
      </c>
      <c r="B47" s="28" t="s">
        <v>303</v>
      </c>
      <c r="C47" s="20" t="s">
        <v>22</v>
      </c>
      <c r="D47" s="29">
        <v>42538.0</v>
      </c>
      <c r="E47" s="20">
        <f t="shared" si="1"/>
        <v>9</v>
      </c>
      <c r="F47" s="41"/>
      <c r="G47" s="30" t="s">
        <v>304</v>
      </c>
      <c r="H47" s="20" t="s">
        <v>25</v>
      </c>
      <c r="I47" s="20" t="str">
        <f t="shared" si="2"/>
        <v>Inativo</v>
      </c>
      <c r="J47" s="20" t="s">
        <v>99</v>
      </c>
      <c r="K47" s="31" t="str">
        <f>IFERROR(__xludf.DUMMYFUNCTION("HYPERLINK(""http://wa.me/55""&amp;REGEXREPLACE(J47,""\D+"",""""),LEFT(L47,FIND("" "",L47) - 1)&amp;"".Wpp"")"),"Maria.Wpp")</f>
        <v>Maria.Wpp</v>
      </c>
      <c r="L47" s="42" t="s">
        <v>100</v>
      </c>
      <c r="M47" s="23" t="s">
        <v>101</v>
      </c>
      <c r="N47" s="32">
        <v>45789.0</v>
      </c>
      <c r="O47" s="32">
        <f t="shared" si="3"/>
        <v>45849</v>
      </c>
      <c r="P47" s="33">
        <v>45980.0</v>
      </c>
      <c r="Q47" s="20" t="s">
        <v>57</v>
      </c>
      <c r="R47" s="23" t="s">
        <v>102</v>
      </c>
      <c r="S47" s="20"/>
      <c r="T47" s="20" t="s">
        <v>103</v>
      </c>
    </row>
    <row r="48" hidden="1">
      <c r="A48" s="24" t="s">
        <v>305</v>
      </c>
      <c r="B48" s="9" t="s">
        <v>305</v>
      </c>
      <c r="C48" s="10" t="s">
        <v>38</v>
      </c>
      <c r="D48" s="25">
        <v>38151.0</v>
      </c>
      <c r="E48" s="10">
        <f t="shared" si="1"/>
        <v>21</v>
      </c>
      <c r="F48" s="12" t="s">
        <v>306</v>
      </c>
      <c r="G48" s="13" t="s">
        <v>307</v>
      </c>
      <c r="H48" s="18" t="s">
        <v>25</v>
      </c>
      <c r="I48" s="10" t="str">
        <f t="shared" si="2"/>
        <v>Inativo</v>
      </c>
      <c r="J48" s="10" t="s">
        <v>308</v>
      </c>
      <c r="K48" s="14" t="str">
        <f>IFERROR(__xludf.DUMMYFUNCTION("HYPERLINK(""http://wa.me/55""&amp;REGEXREPLACE(J48,""\D+"",""""),LEFT(L48,FIND("" "",L48) - 1)&amp;"".Wpp"")"),"Leila.Wpp")</f>
        <v>Leila.Wpp</v>
      </c>
      <c r="L48" s="24" t="s">
        <v>309</v>
      </c>
      <c r="M48" s="18" t="s">
        <v>38</v>
      </c>
      <c r="N48" s="16">
        <v>45748.0</v>
      </c>
      <c r="O48" s="16">
        <f t="shared" si="3"/>
        <v>45808</v>
      </c>
      <c r="P48" s="18"/>
      <c r="Q48" s="18" t="s">
        <v>310</v>
      </c>
      <c r="R48" s="18">
        <v>4.1973631687E10</v>
      </c>
      <c r="S48" s="24"/>
      <c r="T48" s="24"/>
    </row>
    <row r="49" hidden="1">
      <c r="A49" s="19" t="s">
        <v>311</v>
      </c>
      <c r="B49" s="28" t="s">
        <v>311</v>
      </c>
      <c r="C49" s="20" t="s">
        <v>38</v>
      </c>
      <c r="D49" s="29">
        <v>28897.0</v>
      </c>
      <c r="E49" s="20">
        <f t="shared" si="1"/>
        <v>47</v>
      </c>
      <c r="F49" s="30" t="s">
        <v>312</v>
      </c>
      <c r="G49" s="39" t="s">
        <v>313</v>
      </c>
      <c r="H49" s="23" t="s">
        <v>25</v>
      </c>
      <c r="I49" s="20" t="str">
        <f t="shared" si="2"/>
        <v>Inativo</v>
      </c>
      <c r="J49" s="20" t="s">
        <v>314</v>
      </c>
      <c r="K49" s="31" t="str">
        <f>IFERROR(__xludf.DUMMYFUNCTION("HYPERLINK(""http://wa.me/55""&amp;REGEXREPLACE(J49,""\D+"",""""),LEFT(L49,FIND("" "",L49) - 1)&amp;"".Wpp"")"),"Fernanda.Wpp")</f>
        <v>Fernanda.Wpp</v>
      </c>
      <c r="L49" s="19" t="s">
        <v>311</v>
      </c>
      <c r="M49" s="23" t="s">
        <v>38</v>
      </c>
      <c r="N49" s="32">
        <v>45786.0</v>
      </c>
      <c r="O49" s="32">
        <f t="shared" si="3"/>
        <v>45846</v>
      </c>
      <c r="P49" s="23"/>
      <c r="Q49" s="23" t="s">
        <v>315</v>
      </c>
      <c r="R49" s="34" t="s">
        <v>316</v>
      </c>
      <c r="S49" s="42"/>
      <c r="T49" s="42"/>
    </row>
    <row r="50" hidden="1">
      <c r="A50" s="24" t="s">
        <v>317</v>
      </c>
      <c r="B50" s="9" t="s">
        <v>317</v>
      </c>
      <c r="C50" s="10" t="s">
        <v>30</v>
      </c>
      <c r="D50" s="25">
        <v>41795.0</v>
      </c>
      <c r="E50" s="10">
        <f t="shared" si="1"/>
        <v>11</v>
      </c>
      <c r="F50" s="26"/>
      <c r="G50" s="18"/>
      <c r="H50" s="10" t="s">
        <v>25</v>
      </c>
      <c r="I50" s="10" t="str">
        <f t="shared" si="2"/>
        <v>Inativo</v>
      </c>
      <c r="J50" s="10" t="s">
        <v>254</v>
      </c>
      <c r="K50" s="14" t="str">
        <f>IFERROR(__xludf.DUMMYFUNCTION("HYPERLINK(""http://wa.me/55""&amp;REGEXREPLACE(J50,""\D+"",""""),LEFT(L50,FIND("" "",L50) - 1)&amp;"".Wpp"")"),"Simone.Wpp")</f>
        <v>Simone.Wpp</v>
      </c>
      <c r="L50" s="24" t="s">
        <v>255</v>
      </c>
      <c r="M50" s="18" t="s">
        <v>45</v>
      </c>
      <c r="N50" s="16">
        <v>45805.0</v>
      </c>
      <c r="O50" s="16">
        <f t="shared" si="3"/>
        <v>45865</v>
      </c>
      <c r="P50" s="18"/>
      <c r="Q50" s="18" t="s">
        <v>258</v>
      </c>
      <c r="R50" s="18" t="s">
        <v>318</v>
      </c>
      <c r="S50" s="10"/>
      <c r="T50" s="10" t="s">
        <v>319</v>
      </c>
    </row>
    <row r="51">
      <c r="A51" s="19" t="s">
        <v>320</v>
      </c>
      <c r="B51" s="28" t="s">
        <v>320</v>
      </c>
      <c r="C51" s="20" t="s">
        <v>22</v>
      </c>
      <c r="D51" s="38">
        <v>42401.0</v>
      </c>
      <c r="E51" s="20">
        <f t="shared" si="1"/>
        <v>10</v>
      </c>
      <c r="F51" s="30" t="s">
        <v>321</v>
      </c>
      <c r="G51" s="30" t="s">
        <v>322</v>
      </c>
      <c r="H51" s="20" t="s">
        <v>31</v>
      </c>
      <c r="I51" s="20" t="str">
        <f t="shared" si="2"/>
        <v>Ativo</v>
      </c>
      <c r="J51" s="20" t="s">
        <v>299</v>
      </c>
      <c r="K51" s="31" t="str">
        <f>IFERROR(__xludf.DUMMYFUNCTION("HYPERLINK(""http://wa.me/55""&amp;REGEXREPLACE(J51,""\D+"",""""),LEFT(L51,FIND("" "",L51) - 1)&amp;"".Wpp"")"),"Yaksibith.Wpp")</f>
        <v>Yaksibith.Wpp</v>
      </c>
      <c r="L51" s="45" t="s">
        <v>300</v>
      </c>
      <c r="M51" s="20" t="s">
        <v>139</v>
      </c>
      <c r="N51" s="33">
        <v>45993.0</v>
      </c>
      <c r="O51" s="32">
        <f t="shared" si="3"/>
        <v>46053</v>
      </c>
      <c r="P51" s="33"/>
      <c r="Q51" s="46" t="s">
        <v>301</v>
      </c>
      <c r="R51" s="47" t="s">
        <v>323</v>
      </c>
      <c r="S51" s="20" t="s">
        <v>57</v>
      </c>
      <c r="T51" s="20"/>
    </row>
    <row r="52" hidden="1">
      <c r="A52" s="24" t="s">
        <v>324</v>
      </c>
      <c r="B52" s="9" t="s">
        <v>324</v>
      </c>
      <c r="C52" s="10" t="s">
        <v>22</v>
      </c>
      <c r="D52" s="25">
        <v>26512.0</v>
      </c>
      <c r="E52" s="10">
        <f t="shared" si="1"/>
        <v>53</v>
      </c>
      <c r="F52" s="26"/>
      <c r="G52" s="18"/>
      <c r="H52" s="10" t="s">
        <v>25</v>
      </c>
      <c r="I52" s="10" t="str">
        <f t="shared" si="2"/>
        <v>Inativo</v>
      </c>
      <c r="J52" s="10" t="s">
        <v>325</v>
      </c>
      <c r="K52" s="14" t="str">
        <f>IFERROR(__xludf.DUMMYFUNCTION("HYPERLINK(""http://wa.me/55""&amp;REGEXREPLACE(J52,""\D+"",""""),LEFT(L52,FIND("" "",L52) - 1)&amp;"".Wpp"")"),"Flávia.Wpp")</f>
        <v>Flávia.Wpp</v>
      </c>
      <c r="L52" s="8" t="s">
        <v>324</v>
      </c>
      <c r="M52" s="18" t="s">
        <v>38</v>
      </c>
      <c r="N52" s="16">
        <v>45866.0</v>
      </c>
      <c r="O52" s="16">
        <f t="shared" si="3"/>
        <v>45926</v>
      </c>
      <c r="P52" s="17">
        <v>46022.0</v>
      </c>
      <c r="Q52" s="18" t="s">
        <v>326</v>
      </c>
      <c r="R52" s="18"/>
      <c r="S52" s="24"/>
      <c r="T52" s="24"/>
    </row>
    <row r="53">
      <c r="A53" s="19" t="s">
        <v>327</v>
      </c>
      <c r="B53" s="28" t="s">
        <v>327</v>
      </c>
      <c r="C53" s="20" t="s">
        <v>30</v>
      </c>
      <c r="D53" s="38">
        <v>26062.0</v>
      </c>
      <c r="E53" s="20">
        <f t="shared" si="1"/>
        <v>54</v>
      </c>
      <c r="F53" s="22"/>
      <c r="G53" s="23"/>
      <c r="H53" s="20" t="s">
        <v>31</v>
      </c>
      <c r="I53" s="20" t="str">
        <f t="shared" si="2"/>
        <v>Ativo</v>
      </c>
      <c r="J53" s="20" t="s">
        <v>328</v>
      </c>
      <c r="K53" s="31" t="str">
        <f>IFERROR(__xludf.DUMMYFUNCTION("HYPERLINK(""http://wa.me/55""&amp;REGEXREPLACE(J53,""\D+"",""""),LEFT(L53,FIND("" "",L53) - 1)&amp;"".Wpp"")"),"Vera.Wpp")</f>
        <v>Vera.Wpp</v>
      </c>
      <c r="L53" s="19" t="s">
        <v>327</v>
      </c>
      <c r="M53" s="23"/>
      <c r="N53" s="33">
        <v>45994.0</v>
      </c>
      <c r="O53" s="32">
        <f t="shared" si="3"/>
        <v>46054</v>
      </c>
      <c r="P53" s="33"/>
      <c r="Q53" s="20"/>
      <c r="R53" s="20">
        <v>8.2739854668E10</v>
      </c>
      <c r="S53" s="20"/>
      <c r="T53" s="20"/>
    </row>
    <row r="54" hidden="1">
      <c r="A54" s="8" t="s">
        <v>329</v>
      </c>
      <c r="B54" s="9" t="s">
        <v>329</v>
      </c>
      <c r="C54" s="10" t="s">
        <v>30</v>
      </c>
      <c r="D54" s="25">
        <v>39557.0</v>
      </c>
      <c r="E54" s="10">
        <f t="shared" si="1"/>
        <v>17</v>
      </c>
      <c r="F54" s="26"/>
      <c r="G54" s="18"/>
      <c r="H54" s="10" t="s">
        <v>52</v>
      </c>
      <c r="I54" s="10" t="str">
        <f t="shared" si="2"/>
        <v>Ativo</v>
      </c>
      <c r="J54" s="10" t="s">
        <v>330</v>
      </c>
      <c r="K54" s="14" t="str">
        <f>IFERROR(__xludf.DUMMYFUNCTION("HYPERLINK(""http://wa.me/55""&amp;REGEXREPLACE(J54,""\D+"",""""),LEFT(L54,FIND("" "",L54) - 1)&amp;"".Wpp"")"),"Jane.Wpp")</f>
        <v>Jane.Wpp</v>
      </c>
      <c r="L54" s="24" t="s">
        <v>331</v>
      </c>
      <c r="M54" s="18" t="s">
        <v>256</v>
      </c>
      <c r="N54" s="16">
        <v>45784.0</v>
      </c>
      <c r="O54" s="16">
        <f t="shared" si="3"/>
        <v>45844</v>
      </c>
      <c r="P54" s="18"/>
      <c r="Q54" s="18" t="s">
        <v>332</v>
      </c>
      <c r="R54" s="18">
        <v>7.6990834668E10</v>
      </c>
      <c r="S54" s="10"/>
      <c r="T54" s="10" t="s">
        <v>333</v>
      </c>
    </row>
    <row r="55" hidden="1">
      <c r="A55" s="42" t="s">
        <v>334</v>
      </c>
      <c r="B55" s="28" t="s">
        <v>334</v>
      </c>
      <c r="C55" s="20" t="s">
        <v>38</v>
      </c>
      <c r="D55" s="29">
        <v>35339.0</v>
      </c>
      <c r="E55" s="20">
        <f t="shared" si="1"/>
        <v>29</v>
      </c>
      <c r="F55" s="30" t="s">
        <v>335</v>
      </c>
      <c r="G55" s="39" t="s">
        <v>336</v>
      </c>
      <c r="H55" s="23" t="s">
        <v>25</v>
      </c>
      <c r="I55" s="20" t="str">
        <f t="shared" si="2"/>
        <v>Inativo</v>
      </c>
      <c r="J55" s="20" t="s">
        <v>337</v>
      </c>
      <c r="K55" s="31" t="str">
        <f>IFERROR(__xludf.DUMMYFUNCTION("HYPERLINK(""http://wa.me/55""&amp;REGEXREPLACE(J55,""\D+"",""""),LEFT(L55,FIND("" "",L55) - 1)&amp;"".Wpp"")"),"Gabriel.Wpp")</f>
        <v>Gabriel.Wpp</v>
      </c>
      <c r="L55" s="42" t="s">
        <v>338</v>
      </c>
      <c r="M55" s="23" t="s">
        <v>38</v>
      </c>
      <c r="N55" s="32">
        <v>45730.0</v>
      </c>
      <c r="O55" s="32">
        <f t="shared" si="3"/>
        <v>45790</v>
      </c>
      <c r="P55" s="23"/>
      <c r="Q55" s="23" t="s">
        <v>339</v>
      </c>
      <c r="R55" s="34" t="s">
        <v>340</v>
      </c>
      <c r="S55" s="42"/>
      <c r="T55" s="42"/>
    </row>
    <row r="56" hidden="1">
      <c r="A56" s="8" t="s">
        <v>341</v>
      </c>
      <c r="B56" s="9" t="s">
        <v>341</v>
      </c>
      <c r="C56" s="10" t="s">
        <v>30</v>
      </c>
      <c r="D56" s="25">
        <v>43153.0</v>
      </c>
      <c r="E56" s="10">
        <f t="shared" si="1"/>
        <v>8</v>
      </c>
      <c r="F56" s="26"/>
      <c r="G56" s="18"/>
      <c r="H56" s="10" t="s">
        <v>52</v>
      </c>
      <c r="I56" s="10" t="str">
        <f t="shared" si="2"/>
        <v>Ativo</v>
      </c>
      <c r="J56" s="10" t="s">
        <v>342</v>
      </c>
      <c r="K56" s="14" t="str">
        <f>IFERROR(__xludf.DUMMYFUNCTION("HYPERLINK(""http://wa.me/55""&amp;REGEXREPLACE(J56,""\D+"",""""),LEFT(L56,FIND("" "",L56) - 1)&amp;"".Wpp"")"),"Fabiano.Wpp")</f>
        <v>Fabiano.Wpp</v>
      </c>
      <c r="L56" s="24" t="s">
        <v>343</v>
      </c>
      <c r="M56" s="18" t="s">
        <v>45</v>
      </c>
      <c r="N56" s="16">
        <v>45791.0</v>
      </c>
      <c r="O56" s="16">
        <f t="shared" si="3"/>
        <v>45851</v>
      </c>
      <c r="P56" s="17">
        <v>45987.0</v>
      </c>
      <c r="Q56" s="18" t="s">
        <v>344</v>
      </c>
      <c r="R56" s="27" t="s">
        <v>345</v>
      </c>
      <c r="S56" s="10"/>
      <c r="T56" s="10" t="s">
        <v>346</v>
      </c>
    </row>
    <row r="57" hidden="1">
      <c r="A57" s="19" t="s">
        <v>347</v>
      </c>
      <c r="B57" s="28" t="s">
        <v>347</v>
      </c>
      <c r="C57" s="20" t="s">
        <v>22</v>
      </c>
      <c r="D57" s="29">
        <v>41432.0</v>
      </c>
      <c r="E57" s="20">
        <f t="shared" si="1"/>
        <v>12</v>
      </c>
      <c r="F57" s="30" t="s">
        <v>348</v>
      </c>
      <c r="G57" s="39" t="s">
        <v>349</v>
      </c>
      <c r="H57" s="20" t="s">
        <v>25</v>
      </c>
      <c r="I57" s="20" t="str">
        <f t="shared" si="2"/>
        <v>Inativo</v>
      </c>
      <c r="J57" s="20" t="s">
        <v>350</v>
      </c>
      <c r="K57" s="31" t="str">
        <f>IFERROR(__xludf.DUMMYFUNCTION("HYPERLINK(""http://wa.me/55""&amp;REGEXREPLACE(J57,""\D+"",""""),LEFT(L57,FIND("" "",L57) - 1)&amp;"".Wpp"")"),"Daniel.Wpp")</f>
        <v>Daniel.Wpp</v>
      </c>
      <c r="L57" s="42" t="s">
        <v>351</v>
      </c>
      <c r="M57" s="23" t="s">
        <v>38</v>
      </c>
      <c r="N57" s="32">
        <v>45889.0</v>
      </c>
      <c r="O57" s="32">
        <f t="shared" si="3"/>
        <v>45949</v>
      </c>
      <c r="P57" s="32"/>
      <c r="Q57" s="23" t="s">
        <v>352</v>
      </c>
      <c r="R57" s="34" t="s">
        <v>353</v>
      </c>
      <c r="S57" s="20"/>
      <c r="T57" s="20"/>
    </row>
    <row r="58">
      <c r="A58" s="8" t="s">
        <v>354</v>
      </c>
      <c r="B58" s="8"/>
      <c r="C58" s="10" t="s">
        <v>30</v>
      </c>
      <c r="D58" s="11">
        <v>42021.0</v>
      </c>
      <c r="E58" s="10">
        <f t="shared" si="1"/>
        <v>11</v>
      </c>
      <c r="F58" s="44"/>
      <c r="G58" s="18"/>
      <c r="H58" s="10" t="s">
        <v>31</v>
      </c>
      <c r="I58" s="10" t="str">
        <f t="shared" si="2"/>
        <v>Ativo</v>
      </c>
      <c r="J58" s="10" t="s">
        <v>355</v>
      </c>
      <c r="K58" s="14" t="str">
        <f>IFERROR(__xludf.DUMMYFUNCTION("HYPERLINK(""http://wa.me/55""&amp;REGEXREPLACE(J58,""\D+"",""""),LEFT(L58,FIND("" "",L58) - 1)&amp;"".Wpp"")"),"Bernardo.Wpp")</f>
        <v>Bernardo.Wpp</v>
      </c>
      <c r="L58" s="8" t="s">
        <v>354</v>
      </c>
      <c r="M58" s="18"/>
      <c r="N58" s="17">
        <v>45995.0</v>
      </c>
      <c r="O58" s="16">
        <f t="shared" si="3"/>
        <v>46055</v>
      </c>
      <c r="P58" s="17"/>
      <c r="Q58" s="10"/>
      <c r="R58" s="10"/>
      <c r="S58" s="8"/>
      <c r="T58" s="8"/>
    </row>
    <row r="59" hidden="1">
      <c r="A59" s="19" t="s">
        <v>356</v>
      </c>
      <c r="B59" s="28" t="s">
        <v>356</v>
      </c>
      <c r="C59" s="20" t="s">
        <v>38</v>
      </c>
      <c r="D59" s="29">
        <v>41527.0</v>
      </c>
      <c r="E59" s="20">
        <f t="shared" si="1"/>
        <v>12</v>
      </c>
      <c r="F59" s="30" t="s">
        <v>357</v>
      </c>
      <c r="G59" s="39" t="s">
        <v>358</v>
      </c>
      <c r="H59" s="23" t="s">
        <v>25</v>
      </c>
      <c r="I59" s="20" t="str">
        <f t="shared" si="2"/>
        <v>Inativo</v>
      </c>
      <c r="J59" s="20" t="s">
        <v>359</v>
      </c>
      <c r="K59" s="31" t="str">
        <f>IFERROR(__xludf.DUMMYFUNCTION("HYPERLINK(""http://wa.me/55""&amp;REGEXREPLACE(J59,""\D+"",""""),LEFT(L59,FIND("" "",L59) - 1)&amp;"".Wpp"")"),"Gionayra.Wpp")</f>
        <v>Gionayra.Wpp</v>
      </c>
      <c r="L59" s="42" t="s">
        <v>360</v>
      </c>
      <c r="M59" s="23" t="s">
        <v>361</v>
      </c>
      <c r="N59" s="32">
        <v>45755.0</v>
      </c>
      <c r="O59" s="32">
        <f t="shared" si="3"/>
        <v>45815</v>
      </c>
      <c r="P59" s="23"/>
      <c r="Q59" s="23" t="s">
        <v>362</v>
      </c>
      <c r="R59" s="34" t="s">
        <v>363</v>
      </c>
      <c r="S59" s="42"/>
      <c r="T59" s="42"/>
    </row>
    <row r="60" hidden="1">
      <c r="A60" s="50" t="s">
        <v>364</v>
      </c>
      <c r="B60" s="9" t="s">
        <v>364</v>
      </c>
      <c r="C60" s="10" t="s">
        <v>22</v>
      </c>
      <c r="D60" s="25">
        <v>41915.0</v>
      </c>
      <c r="E60" s="10">
        <f t="shared" si="1"/>
        <v>11</v>
      </c>
      <c r="F60" s="26"/>
      <c r="G60" s="18"/>
      <c r="H60" s="10" t="s">
        <v>25</v>
      </c>
      <c r="I60" s="10" t="str">
        <f t="shared" si="2"/>
        <v>Inativo</v>
      </c>
      <c r="J60" s="10" t="s">
        <v>365</v>
      </c>
      <c r="K60" s="14" t="str">
        <f>IFERROR(__xludf.DUMMYFUNCTION("HYPERLINK(""http://wa.me/55""&amp;REGEXREPLACE(J60,""\D+"",""""),LEFT(L60,FIND("" "",L60) - 1)&amp;"".Wpp"")"),"Leonardo.Wpp")</f>
        <v>Leonardo.Wpp</v>
      </c>
      <c r="L60" s="24" t="s">
        <v>366</v>
      </c>
      <c r="M60" s="10" t="s">
        <v>63</v>
      </c>
      <c r="N60" s="16">
        <v>45912.0</v>
      </c>
      <c r="O60" s="16">
        <f t="shared" si="3"/>
        <v>45972</v>
      </c>
      <c r="P60" s="16"/>
      <c r="Q60" s="18" t="s">
        <v>367</v>
      </c>
      <c r="R60" s="18" t="s">
        <v>368</v>
      </c>
      <c r="S60" s="24"/>
      <c r="T60" s="24"/>
    </row>
    <row r="61" hidden="1">
      <c r="A61" s="19" t="s">
        <v>369</v>
      </c>
      <c r="B61" s="28" t="s">
        <v>369</v>
      </c>
      <c r="C61" s="20" t="s">
        <v>22</v>
      </c>
      <c r="D61" s="29">
        <v>41682.0</v>
      </c>
      <c r="E61" s="20">
        <f t="shared" si="1"/>
        <v>12</v>
      </c>
      <c r="F61" s="30" t="s">
        <v>370</v>
      </c>
      <c r="G61" s="39" t="s">
        <v>371</v>
      </c>
      <c r="H61" s="20" t="s">
        <v>25</v>
      </c>
      <c r="I61" s="20" t="str">
        <f t="shared" si="2"/>
        <v>Inativo</v>
      </c>
      <c r="J61" s="20" t="s">
        <v>372</v>
      </c>
      <c r="K61" s="31" t="str">
        <f>IFERROR(__xludf.DUMMYFUNCTION("HYPERLINK(""http://wa.me/55""&amp;REGEXREPLACE(J61,""\D+"",""""),LEFT(L61,FIND("" "",L61) - 1)&amp;"".Wpp"")"),"Wanda.Wpp")</f>
        <v>Wanda.Wpp</v>
      </c>
      <c r="L61" s="42" t="s">
        <v>373</v>
      </c>
      <c r="M61" s="20" t="s">
        <v>54</v>
      </c>
      <c r="N61" s="32">
        <v>45904.0</v>
      </c>
      <c r="O61" s="32">
        <f t="shared" si="3"/>
        <v>45964</v>
      </c>
      <c r="P61" s="32"/>
      <c r="Q61" s="23" t="s">
        <v>374</v>
      </c>
      <c r="R61" s="23" t="s">
        <v>375</v>
      </c>
      <c r="S61" s="23"/>
      <c r="T61" s="23"/>
    </row>
    <row r="62" hidden="1">
      <c r="A62" s="24" t="s">
        <v>376</v>
      </c>
      <c r="B62" s="9" t="s">
        <v>377</v>
      </c>
      <c r="C62" s="10" t="s">
        <v>38</v>
      </c>
      <c r="D62" s="25">
        <v>34680.0</v>
      </c>
      <c r="E62" s="10">
        <f t="shared" si="1"/>
        <v>31</v>
      </c>
      <c r="F62" s="12" t="s">
        <v>378</v>
      </c>
      <c r="G62" s="13" t="s">
        <v>379</v>
      </c>
      <c r="H62" s="18" t="s">
        <v>25</v>
      </c>
      <c r="I62" s="10" t="str">
        <f t="shared" si="2"/>
        <v>Inativo</v>
      </c>
      <c r="J62" s="10" t="s">
        <v>380</v>
      </c>
      <c r="K62" s="14" t="str">
        <f>IFERROR(__xludf.DUMMYFUNCTION("HYPERLINK(""http://wa.me/55""&amp;REGEXREPLACE(J62,""\D+"",""""),LEFT(L62,FIND("" "",L62) - 1)&amp;"".Wpp"")"),"Guilherme.Wpp")</f>
        <v>Guilherme.Wpp</v>
      </c>
      <c r="L62" s="8" t="s">
        <v>376</v>
      </c>
      <c r="M62" s="18" t="s">
        <v>38</v>
      </c>
      <c r="N62" s="16">
        <v>45755.0</v>
      </c>
      <c r="O62" s="16">
        <f t="shared" si="3"/>
        <v>45815</v>
      </c>
      <c r="P62" s="18"/>
      <c r="Q62" s="18" t="s">
        <v>381</v>
      </c>
      <c r="R62" s="18">
        <v>1.0647299674E10</v>
      </c>
      <c r="S62" s="24"/>
      <c r="T62" s="24"/>
    </row>
    <row r="63" hidden="1">
      <c r="A63" s="19" t="s">
        <v>382</v>
      </c>
      <c r="B63" s="28" t="s">
        <v>383</v>
      </c>
      <c r="C63" s="20" t="s">
        <v>38</v>
      </c>
      <c r="D63" s="29">
        <v>41320.0</v>
      </c>
      <c r="E63" s="20">
        <f t="shared" si="1"/>
        <v>13</v>
      </c>
      <c r="F63" s="30" t="s">
        <v>384</v>
      </c>
      <c r="G63" s="39" t="s">
        <v>385</v>
      </c>
      <c r="H63" s="23" t="s">
        <v>25</v>
      </c>
      <c r="I63" s="20" t="str">
        <f t="shared" si="2"/>
        <v>Inativo</v>
      </c>
      <c r="J63" s="20" t="s">
        <v>386</v>
      </c>
      <c r="K63" s="31" t="str">
        <f>IFERROR(__xludf.DUMMYFUNCTION("HYPERLINK(""http://wa.me/55""&amp;REGEXREPLACE(J63,""\D+"",""""),LEFT(L63,FIND("" "",L63) - 1)&amp;"".Wpp"")"),"Fabíola.Wpp")</f>
        <v>Fabíola.Wpp</v>
      </c>
      <c r="L63" s="42" t="s">
        <v>387</v>
      </c>
      <c r="M63" s="23" t="s">
        <v>38</v>
      </c>
      <c r="N63" s="32">
        <v>45743.0</v>
      </c>
      <c r="O63" s="32">
        <f t="shared" si="3"/>
        <v>45803</v>
      </c>
      <c r="P63" s="23"/>
      <c r="Q63" s="23" t="s">
        <v>388</v>
      </c>
      <c r="R63" s="23">
        <v>1.1373988681E10</v>
      </c>
      <c r="S63" s="42"/>
      <c r="T63" s="42"/>
    </row>
    <row r="64" hidden="1">
      <c r="A64" s="8" t="s">
        <v>389</v>
      </c>
      <c r="B64" s="9" t="s">
        <v>390</v>
      </c>
      <c r="C64" s="10" t="s">
        <v>22</v>
      </c>
      <c r="D64" s="11">
        <v>44193.0</v>
      </c>
      <c r="E64" s="10">
        <f t="shared" si="1"/>
        <v>5</v>
      </c>
      <c r="F64" s="12" t="s">
        <v>391</v>
      </c>
      <c r="G64" s="12" t="s">
        <v>392</v>
      </c>
      <c r="H64" s="10" t="s">
        <v>52</v>
      </c>
      <c r="I64" s="10" t="str">
        <f t="shared" si="2"/>
        <v>Ativo</v>
      </c>
      <c r="J64" s="10" t="s">
        <v>393</v>
      </c>
      <c r="K64" s="14" t="str">
        <f>IFERROR(__xludf.DUMMYFUNCTION("HYPERLINK(""http://wa.me/55""&amp;REGEXREPLACE(J64,""\D+"",""""),LEFT(L64,FIND("" "",L64) - 1)&amp;"".Wpp"")"),"Adriana.Wpp")</f>
        <v>Adriana.Wpp</v>
      </c>
      <c r="L64" s="35" t="s">
        <v>394</v>
      </c>
      <c r="M64" s="10" t="s">
        <v>139</v>
      </c>
      <c r="N64" s="17">
        <v>45974.0</v>
      </c>
      <c r="O64" s="16">
        <f t="shared" si="3"/>
        <v>46034</v>
      </c>
      <c r="P64" s="18"/>
      <c r="Q64" s="43" t="s">
        <v>395</v>
      </c>
      <c r="R64" s="37" t="s">
        <v>396</v>
      </c>
      <c r="S64" s="10" t="s">
        <v>57</v>
      </c>
      <c r="T64" s="10"/>
    </row>
    <row r="65">
      <c r="A65" s="19" t="s">
        <v>397</v>
      </c>
      <c r="B65" s="28" t="s">
        <v>397</v>
      </c>
      <c r="C65" s="20" t="s">
        <v>22</v>
      </c>
      <c r="D65" s="38">
        <v>43426.0</v>
      </c>
      <c r="E65" s="20">
        <f t="shared" si="1"/>
        <v>7</v>
      </c>
      <c r="F65" s="22"/>
      <c r="G65" s="30" t="s">
        <v>398</v>
      </c>
      <c r="H65" s="20" t="s">
        <v>31</v>
      </c>
      <c r="I65" s="20" t="str">
        <f t="shared" si="2"/>
        <v>Ativo</v>
      </c>
      <c r="J65" s="20" t="s">
        <v>399</v>
      </c>
      <c r="K65" s="31" t="str">
        <f>IFERROR(__xludf.DUMMYFUNCTION("HYPERLINK(""http://wa.me/55""&amp;REGEXREPLACE(J65,""\D+"",""""),LEFT(L65,FIND("" "",L65) - 1)&amp;"".Wpp"")"),"Hugo.Wpp")</f>
        <v>Hugo.Wpp</v>
      </c>
      <c r="L65" s="45" t="s">
        <v>397</v>
      </c>
      <c r="M65" s="20" t="s">
        <v>139</v>
      </c>
      <c r="N65" s="33">
        <v>45995.0</v>
      </c>
      <c r="O65" s="32">
        <f t="shared" si="3"/>
        <v>46055</v>
      </c>
      <c r="P65" s="33"/>
      <c r="Q65" s="46" t="s">
        <v>400</v>
      </c>
      <c r="R65" s="47" t="s">
        <v>401</v>
      </c>
      <c r="S65" s="20" t="s">
        <v>402</v>
      </c>
      <c r="T65" s="19"/>
    </row>
    <row r="66">
      <c r="A66" s="8" t="s">
        <v>403</v>
      </c>
      <c r="B66" s="8"/>
      <c r="C66" s="10" t="s">
        <v>30</v>
      </c>
      <c r="D66" s="11">
        <v>37878.0</v>
      </c>
      <c r="E66" s="10">
        <f t="shared" si="1"/>
        <v>22</v>
      </c>
      <c r="F66" s="44"/>
      <c r="G66" s="18"/>
      <c r="H66" s="10" t="s">
        <v>31</v>
      </c>
      <c r="I66" s="10" t="str">
        <f t="shared" si="2"/>
        <v>Ativo</v>
      </c>
      <c r="J66" s="10" t="s">
        <v>404</v>
      </c>
      <c r="K66" s="14" t="str">
        <f>IFERROR(__xludf.DUMMYFUNCTION("HYPERLINK(""http://wa.me/55""&amp;REGEXREPLACE(J66,""\D+"",""""),LEFT(L66,FIND("" "",L66) - 1)&amp;"".Wpp"")"),"Letícia.Wpp")</f>
        <v>Letícia.Wpp</v>
      </c>
      <c r="L66" s="8" t="s">
        <v>403</v>
      </c>
      <c r="M66" s="18"/>
      <c r="N66" s="17">
        <v>46000.0</v>
      </c>
      <c r="O66" s="16">
        <f t="shared" si="3"/>
        <v>46060</v>
      </c>
      <c r="P66" s="17"/>
      <c r="Q66" s="10"/>
      <c r="R66" s="10"/>
      <c r="S66" s="8"/>
      <c r="T66" s="8"/>
    </row>
    <row r="67">
      <c r="A67" s="19" t="s">
        <v>405</v>
      </c>
      <c r="B67" s="19"/>
      <c r="C67" s="20" t="s">
        <v>30</v>
      </c>
      <c r="D67" s="38">
        <v>35754.0</v>
      </c>
      <c r="E67" s="20">
        <f t="shared" si="1"/>
        <v>28</v>
      </c>
      <c r="F67" s="22"/>
      <c r="G67" s="23"/>
      <c r="H67" s="20" t="s">
        <v>31</v>
      </c>
      <c r="I67" s="20" t="str">
        <f t="shared" si="2"/>
        <v>Ativo</v>
      </c>
      <c r="J67" s="20" t="s">
        <v>406</v>
      </c>
      <c r="K67" s="31" t="str">
        <f>IFERROR(__xludf.DUMMYFUNCTION("HYPERLINK(""http://wa.me/55""&amp;REGEXREPLACE(J67,""\D+"",""""),LEFT(L67,FIND("" "",L67) - 1)&amp;"".Wpp"")"),"Henrique.Wpp")</f>
        <v>Henrique.Wpp</v>
      </c>
      <c r="L67" s="19" t="s">
        <v>405</v>
      </c>
      <c r="M67" s="51" t="s">
        <v>69</v>
      </c>
      <c r="N67" s="33">
        <v>46003.0</v>
      </c>
      <c r="O67" s="32">
        <f t="shared" si="3"/>
        <v>46063</v>
      </c>
      <c r="P67" s="33"/>
      <c r="Q67" s="20"/>
      <c r="R67" s="20"/>
      <c r="S67" s="19"/>
      <c r="T67" s="19"/>
    </row>
    <row r="68" hidden="1">
      <c r="A68" s="8" t="s">
        <v>407</v>
      </c>
      <c r="B68" s="9" t="s">
        <v>407</v>
      </c>
      <c r="C68" s="10" t="s">
        <v>22</v>
      </c>
      <c r="D68" s="25">
        <v>41278.0</v>
      </c>
      <c r="E68" s="10">
        <f t="shared" si="1"/>
        <v>13</v>
      </c>
      <c r="F68" s="12" t="s">
        <v>408</v>
      </c>
      <c r="G68" s="18"/>
      <c r="H68" s="10" t="s">
        <v>25</v>
      </c>
      <c r="I68" s="10" t="str">
        <f t="shared" si="2"/>
        <v>Inativo</v>
      </c>
      <c r="J68" s="10" t="s">
        <v>409</v>
      </c>
      <c r="K68" s="14" t="str">
        <f>IFERROR(__xludf.DUMMYFUNCTION("HYPERLINK(""http://wa.me/55""&amp;REGEXREPLACE(J68,""\D+"",""""),LEFT(L68,FIND("" "",L68) - 1)&amp;"".Wpp"")"),"Adriano.Wpp")</f>
        <v>Adriano.Wpp</v>
      </c>
      <c r="L68" s="24" t="s">
        <v>410</v>
      </c>
      <c r="M68" s="18" t="s">
        <v>38</v>
      </c>
      <c r="N68" s="16">
        <v>45860.0</v>
      </c>
      <c r="O68" s="16">
        <f t="shared" si="3"/>
        <v>45920</v>
      </c>
      <c r="P68" s="17">
        <v>46020.0</v>
      </c>
      <c r="Q68" s="18" t="s">
        <v>411</v>
      </c>
      <c r="R68" s="27" t="s">
        <v>412</v>
      </c>
      <c r="S68" s="24"/>
      <c r="T68" s="24"/>
    </row>
    <row r="69">
      <c r="A69" s="19" t="s">
        <v>413</v>
      </c>
      <c r="B69" s="28" t="s">
        <v>413</v>
      </c>
      <c r="C69" s="20" t="s">
        <v>22</v>
      </c>
      <c r="D69" s="38">
        <v>42877.0</v>
      </c>
      <c r="E69" s="20">
        <f t="shared" si="1"/>
        <v>8</v>
      </c>
      <c r="F69" s="30" t="s">
        <v>414</v>
      </c>
      <c r="G69" s="30" t="s">
        <v>415</v>
      </c>
      <c r="H69" s="20" t="s">
        <v>31</v>
      </c>
      <c r="I69" s="20" t="str">
        <f t="shared" si="2"/>
        <v>Ativo</v>
      </c>
      <c r="J69" s="20" t="s">
        <v>416</v>
      </c>
      <c r="K69" s="31" t="str">
        <f>IFERROR(__xludf.DUMMYFUNCTION("HYPERLINK(""http://wa.me/55""&amp;REGEXREPLACE(J69,""\D+"",""""),LEFT(L69,FIND("" "",L69) - 1)&amp;"".Wpp"")"),"Adriana.Wpp")</f>
        <v>Adriana.Wpp</v>
      </c>
      <c r="L69" s="45" t="s">
        <v>417</v>
      </c>
      <c r="M69" s="20" t="s">
        <v>139</v>
      </c>
      <c r="N69" s="33">
        <v>46006.0</v>
      </c>
      <c r="O69" s="32"/>
      <c r="P69" s="23"/>
      <c r="Q69" s="46" t="s">
        <v>418</v>
      </c>
      <c r="R69" s="47" t="s">
        <v>419</v>
      </c>
      <c r="S69" s="20" t="s">
        <v>420</v>
      </c>
      <c r="T69" s="20"/>
    </row>
    <row r="70">
      <c r="A70" s="8" t="s">
        <v>421</v>
      </c>
      <c r="B70" s="9" t="s">
        <v>421</v>
      </c>
      <c r="C70" s="10" t="s">
        <v>30</v>
      </c>
      <c r="D70" s="11">
        <v>41620.0</v>
      </c>
      <c r="E70" s="10">
        <f t="shared" si="1"/>
        <v>12</v>
      </c>
      <c r="F70" s="44"/>
      <c r="G70" s="10"/>
      <c r="H70" s="10" t="s">
        <v>31</v>
      </c>
      <c r="I70" s="10" t="s">
        <v>32</v>
      </c>
      <c r="J70" s="10" t="s">
        <v>422</v>
      </c>
      <c r="K70" s="8"/>
      <c r="L70" s="8" t="s">
        <v>423</v>
      </c>
      <c r="M70" s="10" t="s">
        <v>424</v>
      </c>
      <c r="N70" s="17">
        <v>46030.0</v>
      </c>
      <c r="O70" s="10" t="s">
        <v>57</v>
      </c>
      <c r="P70" s="18"/>
      <c r="Q70" s="10"/>
      <c r="R70" s="10"/>
      <c r="S70" s="10"/>
      <c r="T70" s="10"/>
    </row>
    <row r="71" hidden="1">
      <c r="A71" s="19" t="s">
        <v>425</v>
      </c>
      <c r="B71" s="28" t="s">
        <v>426</v>
      </c>
      <c r="C71" s="20" t="s">
        <v>22</v>
      </c>
      <c r="D71" s="38">
        <v>42046.0</v>
      </c>
      <c r="E71" s="20">
        <f t="shared" si="1"/>
        <v>11</v>
      </c>
      <c r="F71" s="30" t="s">
        <v>427</v>
      </c>
      <c r="G71" s="39" t="s">
        <v>428</v>
      </c>
      <c r="H71" s="20" t="s">
        <v>25</v>
      </c>
      <c r="I71" s="20" t="str">
        <f t="shared" ref="I71:I84" si="4">IF(OR(H71="Finalizado",H71="Desistência"),"Inativo","Ativo")</f>
        <v>Inativo</v>
      </c>
      <c r="J71" s="20" t="s">
        <v>429</v>
      </c>
      <c r="K71" s="31" t="str">
        <f>IFERROR(__xludf.DUMMYFUNCTION("HYPERLINK(""http://wa.me/55""&amp;REGEXREPLACE(J71,""\D+"",""""),LEFT(L71,FIND("" "",L71) - 1)&amp;"".Wpp"")"),"Helen.Wpp")</f>
        <v>Helen.Wpp</v>
      </c>
      <c r="L71" s="19" t="s">
        <v>430</v>
      </c>
      <c r="M71" s="20" t="s">
        <v>54</v>
      </c>
      <c r="N71" s="33">
        <v>45954.0</v>
      </c>
      <c r="O71" s="32">
        <f t="shared" ref="O71:O73" si="5">N71+60</f>
        <v>46014</v>
      </c>
      <c r="P71" s="23"/>
      <c r="Q71" s="20" t="s">
        <v>431</v>
      </c>
      <c r="R71" s="20">
        <v>8.801714645E9</v>
      </c>
      <c r="S71" s="20"/>
      <c r="T71" s="20"/>
    </row>
    <row r="72" hidden="1">
      <c r="A72" s="24" t="s">
        <v>432</v>
      </c>
      <c r="B72" s="9" t="s">
        <v>432</v>
      </c>
      <c r="C72" s="10" t="s">
        <v>38</v>
      </c>
      <c r="D72" s="25">
        <v>34707.0</v>
      </c>
      <c r="E72" s="10">
        <f t="shared" si="1"/>
        <v>31</v>
      </c>
      <c r="F72" s="12" t="s">
        <v>433</v>
      </c>
      <c r="G72" s="13" t="s">
        <v>434</v>
      </c>
      <c r="H72" s="18" t="s">
        <v>25</v>
      </c>
      <c r="I72" s="10" t="str">
        <f t="shared" si="4"/>
        <v>Inativo</v>
      </c>
      <c r="J72" s="10" t="s">
        <v>435</v>
      </c>
      <c r="K72" s="14" t="str">
        <f>IFERROR(__xludf.DUMMYFUNCTION("HYPERLINK(""http://wa.me/55""&amp;REGEXREPLACE(J72,""\D+"",""""),LEFT(L72,FIND("" "",L72) - 1)&amp;"".Wpp"")"),"Igor.Wpp")</f>
        <v>Igor.Wpp</v>
      </c>
      <c r="L72" s="8" t="s">
        <v>432</v>
      </c>
      <c r="M72" s="18" t="s">
        <v>38</v>
      </c>
      <c r="N72" s="16">
        <v>45737.0</v>
      </c>
      <c r="O72" s="16">
        <f t="shared" si="5"/>
        <v>45797</v>
      </c>
      <c r="P72" s="18"/>
      <c r="Q72" s="18" t="s">
        <v>436</v>
      </c>
      <c r="R72" s="18"/>
      <c r="S72" s="24"/>
      <c r="T72" s="24"/>
    </row>
    <row r="73" hidden="1">
      <c r="A73" s="19" t="s">
        <v>437</v>
      </c>
      <c r="B73" s="28" t="s">
        <v>438</v>
      </c>
      <c r="C73" s="20" t="s">
        <v>22</v>
      </c>
      <c r="D73" s="29">
        <v>36525.0</v>
      </c>
      <c r="E73" s="20">
        <f t="shared" si="1"/>
        <v>26</v>
      </c>
      <c r="F73" s="30" t="s">
        <v>439</v>
      </c>
      <c r="G73" s="39" t="s">
        <v>440</v>
      </c>
      <c r="H73" s="20" t="s">
        <v>25</v>
      </c>
      <c r="I73" s="20" t="str">
        <f t="shared" si="4"/>
        <v>Inativo</v>
      </c>
      <c r="J73" s="20" t="s">
        <v>441</v>
      </c>
      <c r="K73" s="31" t="str">
        <f>IFERROR(__xludf.DUMMYFUNCTION("HYPERLINK(""http://wa.me/55""&amp;REGEXREPLACE(J73,""\D+"",""""),LEFT(L73,FIND("" "",L73) - 1)&amp;"".Wpp"")"),"Inglecia.Wpp")</f>
        <v>Inglecia.Wpp</v>
      </c>
      <c r="L73" s="42" t="s">
        <v>442</v>
      </c>
      <c r="M73" s="23" t="s">
        <v>69</v>
      </c>
      <c r="N73" s="32">
        <v>45819.0</v>
      </c>
      <c r="O73" s="32">
        <f t="shared" si="5"/>
        <v>45879</v>
      </c>
      <c r="P73" s="23"/>
      <c r="Q73" s="23" t="s">
        <v>443</v>
      </c>
      <c r="R73" s="34" t="s">
        <v>444</v>
      </c>
      <c r="S73" s="42"/>
      <c r="T73" s="42"/>
    </row>
    <row r="74">
      <c r="A74" s="8" t="s">
        <v>445</v>
      </c>
      <c r="B74" s="9" t="s">
        <v>445</v>
      </c>
      <c r="C74" s="10" t="s">
        <v>22</v>
      </c>
      <c r="D74" s="11">
        <v>44474.0</v>
      </c>
      <c r="E74" s="10">
        <f t="shared" si="1"/>
        <v>4</v>
      </c>
      <c r="F74" s="12" t="s">
        <v>446</v>
      </c>
      <c r="G74" s="12" t="s">
        <v>447</v>
      </c>
      <c r="H74" s="10" t="s">
        <v>31</v>
      </c>
      <c r="I74" s="10" t="str">
        <f t="shared" si="4"/>
        <v>Ativo</v>
      </c>
      <c r="J74" s="10" t="s">
        <v>448</v>
      </c>
      <c r="K74" s="14" t="str">
        <f>IFERROR(__xludf.DUMMYFUNCTION("HYPERLINK(""http://wa.me/55""&amp;REGEXREPLACE(J74,""\D+"",""""),LEFT(L74,FIND("" "",L74) - 1)&amp;"".Wpp"")"),"Grazielle.Wpp")</f>
        <v>Grazielle.Wpp</v>
      </c>
      <c r="L74" s="35" t="s">
        <v>449</v>
      </c>
      <c r="M74" s="10" t="s">
        <v>139</v>
      </c>
      <c r="N74" s="17">
        <v>46034.0</v>
      </c>
      <c r="O74" s="16"/>
      <c r="P74" s="17"/>
      <c r="Q74" s="43" t="s">
        <v>450</v>
      </c>
      <c r="R74" s="37" t="s">
        <v>451</v>
      </c>
      <c r="S74" s="10" t="s">
        <v>452</v>
      </c>
      <c r="T74" s="10"/>
    </row>
    <row r="75" hidden="1">
      <c r="A75" s="19" t="s">
        <v>453</v>
      </c>
      <c r="B75" s="28" t="s">
        <v>453</v>
      </c>
      <c r="C75" s="20" t="s">
        <v>22</v>
      </c>
      <c r="D75" s="29">
        <v>43606.0</v>
      </c>
      <c r="E75" s="20">
        <f t="shared" si="1"/>
        <v>6</v>
      </c>
      <c r="F75" s="30" t="s">
        <v>454</v>
      </c>
      <c r="G75" s="30" t="s">
        <v>455</v>
      </c>
      <c r="H75" s="20" t="s">
        <v>52</v>
      </c>
      <c r="I75" s="20" t="str">
        <f t="shared" si="4"/>
        <v>Ativo</v>
      </c>
      <c r="J75" s="20" t="s">
        <v>456</v>
      </c>
      <c r="K75" s="31" t="str">
        <f>IFERROR(__xludf.DUMMYFUNCTION("HYPERLINK(""http://wa.me/55""&amp;REGEXREPLACE(J75,""\D+"",""""),LEFT(L75,FIND("" "",L75) - 1)&amp;"".Wpp"")"),"Erli.Wpp")</f>
        <v>Erli.Wpp</v>
      </c>
      <c r="L75" s="52" t="s">
        <v>457</v>
      </c>
      <c r="M75" s="20" t="s">
        <v>139</v>
      </c>
      <c r="N75" s="32">
        <v>45887.0</v>
      </c>
      <c r="O75" s="32">
        <f t="shared" ref="O75:O76" si="6">N75+60</f>
        <v>45947</v>
      </c>
      <c r="P75" s="23"/>
      <c r="Q75" s="46" t="s">
        <v>458</v>
      </c>
      <c r="R75" s="53" t="s">
        <v>459</v>
      </c>
      <c r="S75" s="20" t="s">
        <v>57</v>
      </c>
      <c r="T75" s="20" t="s">
        <v>460</v>
      </c>
    </row>
    <row r="76" hidden="1">
      <c r="A76" s="50" t="s">
        <v>461</v>
      </c>
      <c r="B76" s="9" t="s">
        <v>461</v>
      </c>
      <c r="C76" s="10" t="s">
        <v>30</v>
      </c>
      <c r="D76" s="25">
        <v>41202.0</v>
      </c>
      <c r="E76" s="10">
        <f t="shared" si="1"/>
        <v>13</v>
      </c>
      <c r="F76" s="26"/>
      <c r="G76" s="18"/>
      <c r="H76" s="10" t="s">
        <v>25</v>
      </c>
      <c r="I76" s="10" t="str">
        <f t="shared" si="4"/>
        <v>Inativo</v>
      </c>
      <c r="J76" s="10" t="s">
        <v>462</v>
      </c>
      <c r="K76" s="14" t="str">
        <f>IFERROR(__xludf.DUMMYFUNCTION("HYPERLINK(""http://wa.me/55""&amp;REGEXREPLACE(J76,""\D+"",""""),LEFT(L76,FIND("" "",L76) - 1)&amp;"".Wpp"")"),"Mara.Wpp")</f>
        <v>Mara.Wpp</v>
      </c>
      <c r="L76" s="24" t="s">
        <v>463</v>
      </c>
      <c r="M76" s="18" t="s">
        <v>38</v>
      </c>
      <c r="N76" s="16">
        <v>45890.0</v>
      </c>
      <c r="O76" s="16">
        <f t="shared" si="6"/>
        <v>45950</v>
      </c>
      <c r="P76" s="18"/>
      <c r="Q76" s="18" t="s">
        <v>464</v>
      </c>
      <c r="R76" s="27" t="s">
        <v>465</v>
      </c>
      <c r="S76" s="10"/>
      <c r="T76" s="10"/>
    </row>
    <row r="77">
      <c r="A77" s="19" t="s">
        <v>466</v>
      </c>
      <c r="B77" s="28" t="s">
        <v>466</v>
      </c>
      <c r="C77" s="20" t="s">
        <v>22</v>
      </c>
      <c r="D77" s="38">
        <v>25065.0</v>
      </c>
      <c r="E77" s="20">
        <f t="shared" si="1"/>
        <v>57</v>
      </c>
      <c r="F77" s="30" t="s">
        <v>467</v>
      </c>
      <c r="G77" s="30" t="s">
        <v>468</v>
      </c>
      <c r="H77" s="20" t="s">
        <v>31</v>
      </c>
      <c r="I77" s="20" t="str">
        <f t="shared" si="4"/>
        <v>Ativo</v>
      </c>
      <c r="J77" s="20" t="s">
        <v>469</v>
      </c>
      <c r="K77" s="31" t="str">
        <f>IFERROR(__xludf.DUMMYFUNCTION("HYPERLINK(""http://wa.me/55""&amp;REGEXREPLACE(J77,""\D+"",""""),LEFT(L77,FIND("" "",L77) - 1)&amp;"".Wpp"")"),"Ravi.Wpp")</f>
        <v>Ravi.Wpp</v>
      </c>
      <c r="L77" s="45" t="s">
        <v>466</v>
      </c>
      <c r="M77" s="20" t="s">
        <v>54</v>
      </c>
      <c r="N77" s="33">
        <v>46034.0</v>
      </c>
      <c r="O77" s="32"/>
      <c r="P77" s="23"/>
      <c r="Q77" s="46" t="s">
        <v>470</v>
      </c>
      <c r="R77" s="47" t="s">
        <v>471</v>
      </c>
      <c r="S77" s="20" t="s">
        <v>57</v>
      </c>
      <c r="T77" s="20" t="s">
        <v>472</v>
      </c>
    </row>
    <row r="78" hidden="1">
      <c r="A78" s="24" t="s">
        <v>473</v>
      </c>
      <c r="B78" s="9" t="s">
        <v>473</v>
      </c>
      <c r="C78" s="10" t="s">
        <v>22</v>
      </c>
      <c r="D78" s="25">
        <v>26567.0</v>
      </c>
      <c r="E78" s="10">
        <f t="shared" si="1"/>
        <v>53</v>
      </c>
      <c r="F78" s="12" t="s">
        <v>474</v>
      </c>
      <c r="G78" s="18"/>
      <c r="H78" s="10" t="s">
        <v>25</v>
      </c>
      <c r="I78" s="10" t="str">
        <f t="shared" si="4"/>
        <v>Inativo</v>
      </c>
      <c r="J78" s="10" t="s">
        <v>475</v>
      </c>
      <c r="K78" s="14" t="str">
        <f>IFERROR(__xludf.DUMMYFUNCTION("HYPERLINK(""http://wa.me/55""&amp;REGEXREPLACE(J78,""\D+"",""""),LEFT(L78,FIND("" "",L78) - 1)&amp;"".Wpp"")"),"Jeanne.Wpp")</f>
        <v>Jeanne.Wpp</v>
      </c>
      <c r="L78" s="8" t="s">
        <v>473</v>
      </c>
      <c r="M78" s="18"/>
      <c r="N78" s="16">
        <v>45798.0</v>
      </c>
      <c r="O78" s="16">
        <f t="shared" ref="O78:O84" si="7">N78+60</f>
        <v>45858</v>
      </c>
      <c r="P78" s="17">
        <v>45992.0</v>
      </c>
      <c r="Q78" s="18" t="s">
        <v>476</v>
      </c>
      <c r="R78" s="18"/>
      <c r="S78" s="8"/>
      <c r="T78" s="8" t="s">
        <v>22</v>
      </c>
    </row>
    <row r="79" hidden="1">
      <c r="A79" s="19" t="s">
        <v>477</v>
      </c>
      <c r="B79" s="28" t="s">
        <v>477</v>
      </c>
      <c r="C79" s="20" t="s">
        <v>38</v>
      </c>
      <c r="D79" s="29">
        <v>34459.0</v>
      </c>
      <c r="E79" s="20">
        <f t="shared" si="1"/>
        <v>31</v>
      </c>
      <c r="F79" s="30" t="s">
        <v>478</v>
      </c>
      <c r="G79" s="23"/>
      <c r="H79" s="20" t="s">
        <v>25</v>
      </c>
      <c r="I79" s="20" t="str">
        <f t="shared" si="4"/>
        <v>Inativo</v>
      </c>
      <c r="J79" s="20" t="s">
        <v>479</v>
      </c>
      <c r="K79" s="31" t="str">
        <f>IFERROR(__xludf.DUMMYFUNCTION("HYPERLINK(""http://wa.me/55""&amp;REGEXREPLACE(J79,""\D+"",""""),LEFT(L79,FIND("" "",L79) - 1)&amp;"".Wpp"")"),"Jéssica.Wpp")</f>
        <v>Jéssica.Wpp</v>
      </c>
      <c r="L79" s="42" t="s">
        <v>480</v>
      </c>
      <c r="M79" s="23" t="s">
        <v>38</v>
      </c>
      <c r="N79" s="32">
        <v>45839.0</v>
      </c>
      <c r="O79" s="32">
        <f t="shared" si="7"/>
        <v>45899</v>
      </c>
      <c r="P79" s="23"/>
      <c r="Q79" s="23" t="s">
        <v>481</v>
      </c>
      <c r="R79" s="23">
        <v>1.2901001602E10</v>
      </c>
      <c r="S79" s="42"/>
      <c r="T79" s="42"/>
    </row>
    <row r="80" hidden="1">
      <c r="A80" s="8" t="s">
        <v>482</v>
      </c>
      <c r="B80" s="9" t="s">
        <v>482</v>
      </c>
      <c r="C80" s="10" t="s">
        <v>30</v>
      </c>
      <c r="D80" s="11">
        <v>43326.0</v>
      </c>
      <c r="E80" s="10">
        <f t="shared" si="1"/>
        <v>7</v>
      </c>
      <c r="F80" s="26"/>
      <c r="G80" s="18"/>
      <c r="H80" s="10" t="s">
        <v>25</v>
      </c>
      <c r="I80" s="10" t="str">
        <f t="shared" si="4"/>
        <v>Inativo</v>
      </c>
      <c r="J80" s="10" t="s">
        <v>483</v>
      </c>
      <c r="K80" s="14" t="str">
        <f>IFERROR(__xludf.DUMMYFUNCTION("HYPERLINK(""http://wa.me/55""&amp;REGEXREPLACE(J80,""\D+"",""""),LEFT(L80,FIND("" "",L80) - 1)&amp;"".Wpp"")"),"Gabriela.Wpp")</f>
        <v>Gabriela.Wpp</v>
      </c>
      <c r="L80" s="8" t="s">
        <v>484</v>
      </c>
      <c r="M80" s="18"/>
      <c r="N80" s="17">
        <v>45930.0</v>
      </c>
      <c r="O80" s="16">
        <f t="shared" si="7"/>
        <v>45990</v>
      </c>
      <c r="P80" s="17"/>
      <c r="Q80" s="10" t="s">
        <v>485</v>
      </c>
      <c r="R80" s="10" t="s">
        <v>486</v>
      </c>
      <c r="S80" s="54"/>
      <c r="T80" s="54" t="s">
        <v>487</v>
      </c>
    </row>
    <row r="81" hidden="1">
      <c r="A81" s="42" t="s">
        <v>488</v>
      </c>
      <c r="B81" s="28" t="s">
        <v>488</v>
      </c>
      <c r="C81" s="20" t="s">
        <v>22</v>
      </c>
      <c r="D81" s="29">
        <v>42720.0</v>
      </c>
      <c r="E81" s="20">
        <f t="shared" si="1"/>
        <v>9</v>
      </c>
      <c r="F81" s="41"/>
      <c r="G81" s="23"/>
      <c r="H81" s="20" t="s">
        <v>25</v>
      </c>
      <c r="I81" s="20" t="str">
        <f t="shared" si="4"/>
        <v>Inativo</v>
      </c>
      <c r="J81" s="20" t="s">
        <v>37</v>
      </c>
      <c r="K81" s="31" t="str">
        <f>IFERROR(__xludf.DUMMYFUNCTION("HYPERLINK(""http://wa.me/55""&amp;REGEXREPLACE(J81,""\D+"",""""),LEFT(L81,FIND("" "",L81) - 1)&amp;"".Wpp"")"),"Maria.Wpp")</f>
        <v>Maria.Wpp</v>
      </c>
      <c r="L81" s="42" t="s">
        <v>36</v>
      </c>
      <c r="M81" s="23" t="s">
        <v>69</v>
      </c>
      <c r="N81" s="32">
        <v>45786.0</v>
      </c>
      <c r="O81" s="32">
        <f t="shared" si="7"/>
        <v>45846</v>
      </c>
      <c r="P81" s="33">
        <v>45968.0</v>
      </c>
      <c r="Q81" s="23" t="s">
        <v>39</v>
      </c>
      <c r="R81" s="34" t="s">
        <v>40</v>
      </c>
      <c r="S81" s="19"/>
      <c r="T81" s="19" t="s">
        <v>22</v>
      </c>
    </row>
    <row r="82" hidden="1">
      <c r="A82" s="50" t="s">
        <v>489</v>
      </c>
      <c r="B82" s="9" t="s">
        <v>489</v>
      </c>
      <c r="C82" s="10" t="s">
        <v>22</v>
      </c>
      <c r="D82" s="25">
        <v>43324.0</v>
      </c>
      <c r="E82" s="10">
        <f t="shared" si="1"/>
        <v>7</v>
      </c>
      <c r="F82" s="12" t="s">
        <v>490</v>
      </c>
      <c r="G82" s="13" t="s">
        <v>491</v>
      </c>
      <c r="H82" s="10" t="s">
        <v>25</v>
      </c>
      <c r="I82" s="10" t="str">
        <f t="shared" si="4"/>
        <v>Inativo</v>
      </c>
      <c r="J82" s="10" t="s">
        <v>492</v>
      </c>
      <c r="K82" s="14" t="str">
        <f>IFERROR(__xludf.DUMMYFUNCTION("HYPERLINK(""http://wa.me/55""&amp;REGEXREPLACE(J82,""\D+"",""""),LEFT(L82,FIND("" "",L82) - 1)&amp;"".Wpp"")"),"Márcia.Wpp")</f>
        <v>Márcia.Wpp</v>
      </c>
      <c r="L82" s="8" t="s">
        <v>493</v>
      </c>
      <c r="M82" s="10" t="s">
        <v>54</v>
      </c>
      <c r="N82" s="16">
        <v>45891.0</v>
      </c>
      <c r="O82" s="16">
        <f t="shared" si="7"/>
        <v>45951</v>
      </c>
      <c r="P82" s="18"/>
      <c r="Q82" s="18" t="s">
        <v>494</v>
      </c>
      <c r="R82" s="18">
        <v>1.0959187618E10</v>
      </c>
      <c r="S82" s="10"/>
      <c r="T82" s="10"/>
    </row>
    <row r="83" hidden="1">
      <c r="A83" s="55" t="s">
        <v>495</v>
      </c>
      <c r="B83" s="56" t="s">
        <v>495</v>
      </c>
      <c r="C83" s="54" t="s">
        <v>22</v>
      </c>
      <c r="D83" s="57">
        <v>42417.0</v>
      </c>
      <c r="E83" s="20">
        <f t="shared" si="1"/>
        <v>10</v>
      </c>
      <c r="F83" s="58" t="s">
        <v>496</v>
      </c>
      <c r="G83" s="58" t="s">
        <v>497</v>
      </c>
      <c r="H83" s="54" t="s">
        <v>52</v>
      </c>
      <c r="I83" s="54" t="str">
        <f t="shared" si="4"/>
        <v>Ativo</v>
      </c>
      <c r="J83" s="54" t="s">
        <v>498</v>
      </c>
      <c r="K83" s="59" t="str">
        <f>IFERROR(__xludf.DUMMYFUNCTION("HYPERLINK(""http://wa.me/55""&amp;REGEXREPLACE(J83,""\D+"",""""),LEFT(L83,FIND("" "",L83) - 1)&amp;"".Wpp"")"),"Ianamara.Wpp")</f>
        <v>Ianamara.Wpp</v>
      </c>
      <c r="L83" s="60" t="s">
        <v>499</v>
      </c>
      <c r="M83" s="54" t="s">
        <v>500</v>
      </c>
      <c r="N83" s="61">
        <v>45792.0</v>
      </c>
      <c r="O83" s="61">
        <f t="shared" si="7"/>
        <v>45852</v>
      </c>
      <c r="P83" s="62">
        <v>45988.0</v>
      </c>
      <c r="Q83" s="63" t="s">
        <v>501</v>
      </c>
      <c r="R83" s="64" t="s">
        <v>502</v>
      </c>
      <c r="S83" s="54" t="s">
        <v>57</v>
      </c>
      <c r="T83" s="54" t="s">
        <v>503</v>
      </c>
    </row>
    <row r="84" hidden="1">
      <c r="A84" s="55" t="s">
        <v>504</v>
      </c>
      <c r="B84" s="56" t="s">
        <v>504</v>
      </c>
      <c r="C84" s="54" t="s">
        <v>22</v>
      </c>
      <c r="D84" s="57">
        <v>40326.0</v>
      </c>
      <c r="E84" s="10">
        <f t="shared" si="1"/>
        <v>15</v>
      </c>
      <c r="F84" s="58" t="s">
        <v>505</v>
      </c>
      <c r="G84" s="58" t="s">
        <v>506</v>
      </c>
      <c r="H84" s="54" t="s">
        <v>52</v>
      </c>
      <c r="I84" s="54" t="str">
        <f t="shared" si="4"/>
        <v>Ativo</v>
      </c>
      <c r="J84" s="54" t="s">
        <v>507</v>
      </c>
      <c r="K84" s="59" t="str">
        <f>IFERROR(__xludf.DUMMYFUNCTION("HYPERLINK(""http://wa.me/55""&amp;REGEXREPLACE(J84,""\D+"",""""),LEFT(L84,FIND("" "",L84) - 1)&amp;"".Wpp"")"),"Poliana.Wpp")</f>
        <v>Poliana.Wpp</v>
      </c>
      <c r="L84" s="60" t="s">
        <v>508</v>
      </c>
      <c r="M84" s="54" t="s">
        <v>500</v>
      </c>
      <c r="N84" s="61">
        <v>45789.0</v>
      </c>
      <c r="O84" s="61">
        <f t="shared" si="7"/>
        <v>45849</v>
      </c>
      <c r="P84" s="51"/>
      <c r="Q84" s="63" t="s">
        <v>509</v>
      </c>
      <c r="R84" s="64" t="s">
        <v>510</v>
      </c>
      <c r="S84" s="54" t="s">
        <v>57</v>
      </c>
      <c r="T84" s="55" t="s">
        <v>511</v>
      </c>
    </row>
    <row r="85">
      <c r="A85" s="19" t="s">
        <v>512</v>
      </c>
      <c r="B85" s="19"/>
      <c r="C85" s="20" t="s">
        <v>30</v>
      </c>
      <c r="D85" s="21">
        <v>43932.0</v>
      </c>
      <c r="E85" s="20">
        <f t="shared" si="1"/>
        <v>5</v>
      </c>
      <c r="F85" s="22"/>
      <c r="G85" s="20"/>
      <c r="H85" s="20" t="s">
        <v>31</v>
      </c>
      <c r="I85" s="20" t="s">
        <v>32</v>
      </c>
      <c r="J85" s="20" t="s">
        <v>513</v>
      </c>
      <c r="K85" s="19"/>
      <c r="L85" s="19" t="s">
        <v>514</v>
      </c>
      <c r="M85" s="51"/>
      <c r="N85" s="21">
        <v>46036.0</v>
      </c>
      <c r="O85" s="20"/>
      <c r="P85" s="23"/>
      <c r="Q85" s="20"/>
      <c r="R85" s="20"/>
      <c r="S85" s="20"/>
      <c r="T85" s="20"/>
    </row>
    <row r="86" hidden="1">
      <c r="A86" s="8" t="s">
        <v>515</v>
      </c>
      <c r="B86" s="9" t="s">
        <v>515</v>
      </c>
      <c r="C86" s="10" t="s">
        <v>38</v>
      </c>
      <c r="D86" s="25">
        <v>44198.0</v>
      </c>
      <c r="E86" s="10">
        <f t="shared" si="1"/>
        <v>5</v>
      </c>
      <c r="F86" s="12" t="s">
        <v>516</v>
      </c>
      <c r="G86" s="13" t="s">
        <v>517</v>
      </c>
      <c r="H86" s="18" t="s">
        <v>25</v>
      </c>
      <c r="I86" s="10" t="str">
        <f>IF(OR(H86="Finalizado",H86="Desistência"),"Inativo","Ativo")</f>
        <v>Inativo</v>
      </c>
      <c r="J86" s="10" t="s">
        <v>518</v>
      </c>
      <c r="K86" s="14" t="str">
        <f>IFERROR(__xludf.DUMMYFUNCTION("HYPERLINK(""http://wa.me/55""&amp;REGEXREPLACE(J86,""\D+"",""""),LEFT(L86,FIND("" "",L86) - 1)&amp;"".Wpp"")"),"Paulo.Wpp")</f>
        <v>Paulo.Wpp</v>
      </c>
      <c r="L86" s="24" t="s">
        <v>519</v>
      </c>
      <c r="M86" s="18" t="s">
        <v>45</v>
      </c>
      <c r="N86" s="16">
        <v>45742.0</v>
      </c>
      <c r="O86" s="16">
        <f>N86+60</f>
        <v>45802</v>
      </c>
      <c r="P86" s="18"/>
      <c r="Q86" s="18" t="s">
        <v>520</v>
      </c>
      <c r="R86" s="18">
        <v>1.1703257693E10</v>
      </c>
      <c r="S86" s="24"/>
      <c r="T86" s="24"/>
    </row>
    <row r="87">
      <c r="A87" s="19" t="s">
        <v>521</v>
      </c>
      <c r="B87" s="28" t="s">
        <v>521</v>
      </c>
      <c r="C87" s="20" t="s">
        <v>30</v>
      </c>
      <c r="D87" s="38">
        <v>42499.0</v>
      </c>
      <c r="E87" s="20">
        <f t="shared" si="1"/>
        <v>9</v>
      </c>
      <c r="F87" s="22"/>
      <c r="G87" s="20"/>
      <c r="H87" s="20" t="s">
        <v>31</v>
      </c>
      <c r="I87" s="20" t="s">
        <v>32</v>
      </c>
      <c r="J87" s="20" t="s">
        <v>522</v>
      </c>
      <c r="K87" s="19"/>
      <c r="L87" s="19" t="s">
        <v>523</v>
      </c>
      <c r="M87" s="20" t="s">
        <v>524</v>
      </c>
      <c r="N87" s="33">
        <v>46038.0</v>
      </c>
      <c r="O87" s="32"/>
      <c r="P87" s="23"/>
      <c r="Q87" s="20"/>
      <c r="R87" s="20"/>
      <c r="S87" s="20"/>
      <c r="T87" s="20"/>
    </row>
    <row r="88" hidden="1">
      <c r="A88" s="8" t="s">
        <v>525</v>
      </c>
      <c r="B88" s="9" t="s">
        <v>526</v>
      </c>
      <c r="C88" s="10" t="s">
        <v>30</v>
      </c>
      <c r="D88" s="25">
        <v>39736.0</v>
      </c>
      <c r="E88" s="10">
        <f t="shared" si="1"/>
        <v>17</v>
      </c>
      <c r="F88" s="12" t="s">
        <v>527</v>
      </c>
      <c r="G88" s="18"/>
      <c r="H88" s="10" t="s">
        <v>25</v>
      </c>
      <c r="I88" s="10" t="str">
        <f t="shared" ref="I88:I109" si="8">IF(OR(H88="Finalizado",H88="Desistência"),"Inativo","Ativo")</f>
        <v>Inativo</v>
      </c>
      <c r="J88" s="10" t="s">
        <v>528</v>
      </c>
      <c r="K88" s="14" t="str">
        <f>IFERROR(__xludf.DUMMYFUNCTION("HYPERLINK(""http://wa.me/55""&amp;REGEXREPLACE(J88,""\D+"",""""),LEFT(L88,FIND("" "",L88) - 1)&amp;"".Wpp"")"),"Raquel.Wpp")</f>
        <v>Raquel.Wpp</v>
      </c>
      <c r="L88" s="24" t="s">
        <v>529</v>
      </c>
      <c r="M88" s="18" t="s">
        <v>38</v>
      </c>
      <c r="N88" s="16">
        <v>45806.0</v>
      </c>
      <c r="O88" s="16">
        <f t="shared" ref="O88:O91" si="9">N88+60</f>
        <v>45866</v>
      </c>
      <c r="P88" s="17">
        <v>46001.0</v>
      </c>
      <c r="Q88" s="18" t="s">
        <v>530</v>
      </c>
      <c r="R88" s="27" t="s">
        <v>531</v>
      </c>
      <c r="S88" s="8"/>
      <c r="T88" s="8" t="s">
        <v>30</v>
      </c>
    </row>
    <row r="89" hidden="1">
      <c r="A89" s="19" t="s">
        <v>532</v>
      </c>
      <c r="B89" s="28" t="s">
        <v>533</v>
      </c>
      <c r="C89" s="20" t="s">
        <v>30</v>
      </c>
      <c r="D89" s="38">
        <v>43656.0</v>
      </c>
      <c r="E89" s="20">
        <f t="shared" si="1"/>
        <v>6</v>
      </c>
      <c r="F89" s="22"/>
      <c r="G89" s="23"/>
      <c r="H89" s="20" t="s">
        <v>25</v>
      </c>
      <c r="I89" s="20" t="str">
        <f t="shared" si="8"/>
        <v>Inativo</v>
      </c>
      <c r="J89" s="20" t="s">
        <v>534</v>
      </c>
      <c r="K89" s="31" t="str">
        <f>IFERROR(__xludf.DUMMYFUNCTION("HYPERLINK(""http://wa.me/55""&amp;REGEXREPLACE(J89,""\D+"",""""),LEFT(L89,FIND("" "",L89) - 1)&amp;"".Wpp"")"),"Naiara.Wpp")</f>
        <v>Naiara.Wpp</v>
      </c>
      <c r="L89" s="19" t="s">
        <v>535</v>
      </c>
      <c r="M89" s="20" t="s">
        <v>54</v>
      </c>
      <c r="N89" s="33">
        <v>45918.0</v>
      </c>
      <c r="O89" s="32">
        <f t="shared" si="9"/>
        <v>45978</v>
      </c>
      <c r="P89" s="33"/>
      <c r="Q89" s="20" t="s">
        <v>536</v>
      </c>
      <c r="R89" s="20">
        <v>1.527660656E9</v>
      </c>
      <c r="S89" s="20"/>
      <c r="T89" s="20" t="s">
        <v>537</v>
      </c>
    </row>
    <row r="90" hidden="1">
      <c r="A90" s="8" t="s">
        <v>538</v>
      </c>
      <c r="B90" s="9" t="s">
        <v>539</v>
      </c>
      <c r="C90" s="10" t="s">
        <v>30</v>
      </c>
      <c r="D90" s="11">
        <v>41599.0</v>
      </c>
      <c r="E90" s="10">
        <f t="shared" si="1"/>
        <v>12</v>
      </c>
      <c r="F90" s="12" t="s">
        <v>540</v>
      </c>
      <c r="G90" s="18"/>
      <c r="H90" s="10" t="s">
        <v>25</v>
      </c>
      <c r="I90" s="10" t="str">
        <f t="shared" si="8"/>
        <v>Inativo</v>
      </c>
      <c r="J90" s="10" t="s">
        <v>541</v>
      </c>
      <c r="K90" s="14" t="str">
        <f>IFERROR(__xludf.DUMMYFUNCTION("HYPERLINK(""http://wa.me/55""&amp;REGEXREPLACE(J90,""\D+"",""""),LEFT(L90,FIND("" "",L90) - 1)&amp;"".Wpp"")"),"Bárbara.Wpp")</f>
        <v>Bárbara.Wpp</v>
      </c>
      <c r="L90" s="8" t="s">
        <v>542</v>
      </c>
      <c r="M90" s="10" t="s">
        <v>54</v>
      </c>
      <c r="N90" s="17">
        <v>45946.0</v>
      </c>
      <c r="O90" s="16">
        <f t="shared" si="9"/>
        <v>46006</v>
      </c>
      <c r="P90" s="17"/>
      <c r="Q90" s="10" t="s">
        <v>543</v>
      </c>
      <c r="R90" s="10">
        <v>2.904461639E9</v>
      </c>
      <c r="S90" s="54"/>
      <c r="T90" s="54" t="s">
        <v>544</v>
      </c>
    </row>
    <row r="91" hidden="1">
      <c r="A91" s="65" t="s">
        <v>545</v>
      </c>
      <c r="B91" s="28" t="s">
        <v>545</v>
      </c>
      <c r="C91" s="20" t="s">
        <v>22</v>
      </c>
      <c r="D91" s="29">
        <v>42044.0</v>
      </c>
      <c r="E91" s="20">
        <f t="shared" si="1"/>
        <v>11</v>
      </c>
      <c r="F91" s="30" t="s">
        <v>546</v>
      </c>
      <c r="G91" s="23"/>
      <c r="H91" s="20" t="s">
        <v>25</v>
      </c>
      <c r="I91" s="20" t="str">
        <f t="shared" si="8"/>
        <v>Inativo</v>
      </c>
      <c r="J91" s="20" t="s">
        <v>547</v>
      </c>
      <c r="K91" s="31" t="str">
        <f>IFERROR(__xludf.DUMMYFUNCTION("HYPERLINK(""http://wa.me/55""&amp;REGEXREPLACE(J91,""\D+"",""""),LEFT(L91,FIND("" "",L91) - 1)&amp;"".Wpp"")"),"Cátia.Wpp")</f>
        <v>Cátia.Wpp</v>
      </c>
      <c r="L91" s="19" t="s">
        <v>548</v>
      </c>
      <c r="M91" s="23" t="s">
        <v>38</v>
      </c>
      <c r="N91" s="32">
        <v>45897.0</v>
      </c>
      <c r="O91" s="32">
        <f t="shared" si="9"/>
        <v>45957</v>
      </c>
      <c r="P91" s="33">
        <v>45974.0</v>
      </c>
      <c r="Q91" s="23" t="s">
        <v>549</v>
      </c>
      <c r="R91" s="34" t="s">
        <v>550</v>
      </c>
      <c r="S91" s="42"/>
      <c r="T91" s="42"/>
    </row>
    <row r="92">
      <c r="A92" s="8" t="s">
        <v>551</v>
      </c>
      <c r="B92" s="9" t="s">
        <v>552</v>
      </c>
      <c r="C92" s="10" t="s">
        <v>22</v>
      </c>
      <c r="D92" s="11">
        <v>41742.0</v>
      </c>
      <c r="E92" s="10">
        <f t="shared" si="1"/>
        <v>11</v>
      </c>
      <c r="F92" s="12" t="s">
        <v>553</v>
      </c>
      <c r="G92" s="12" t="s">
        <v>554</v>
      </c>
      <c r="H92" s="10" t="s">
        <v>31</v>
      </c>
      <c r="I92" s="10" t="str">
        <f t="shared" si="8"/>
        <v>Ativo</v>
      </c>
      <c r="J92" s="10" t="s">
        <v>555</v>
      </c>
      <c r="K92" s="14" t="str">
        <f>IFERROR(__xludf.DUMMYFUNCTION("HYPERLINK(""http://wa.me/55""&amp;REGEXREPLACE(J92,""\D+"",""""),LEFT(L92,FIND("" "",L92) - 1)&amp;"".Wpp"")"),"Raimunda.Wpp")</f>
        <v>Raimunda.Wpp</v>
      </c>
      <c r="L92" s="35" t="s">
        <v>556</v>
      </c>
      <c r="M92" s="10" t="s">
        <v>139</v>
      </c>
      <c r="N92" s="17">
        <v>46041.0</v>
      </c>
      <c r="O92" s="16"/>
      <c r="P92" s="18"/>
      <c r="Q92" s="43" t="s">
        <v>557</v>
      </c>
      <c r="R92" s="37" t="s">
        <v>558</v>
      </c>
      <c r="S92" s="10" t="s">
        <v>559</v>
      </c>
      <c r="T92" s="24"/>
    </row>
    <row r="93" hidden="1">
      <c r="A93" s="19" t="s">
        <v>560</v>
      </c>
      <c r="B93" s="28" t="s">
        <v>560</v>
      </c>
      <c r="C93" s="20" t="s">
        <v>30</v>
      </c>
      <c r="D93" s="29">
        <v>42885.0</v>
      </c>
      <c r="E93" s="20">
        <f t="shared" si="1"/>
        <v>8</v>
      </c>
      <c r="F93" s="41"/>
      <c r="G93" s="23"/>
      <c r="H93" s="20" t="s">
        <v>25</v>
      </c>
      <c r="I93" s="20" t="str">
        <f t="shared" si="8"/>
        <v>Inativo</v>
      </c>
      <c r="J93" s="20" t="s">
        <v>561</v>
      </c>
      <c r="K93" s="31" t="str">
        <f>IFERROR(__xludf.DUMMYFUNCTION("HYPERLINK(""http://wa.me/55""&amp;REGEXREPLACE(J93,""\D+"",""""),LEFT(L93,FIND("" "",L93) - 1)&amp;"".Wpp"")"),"Cristiane.Wpp")</f>
        <v>Cristiane.Wpp</v>
      </c>
      <c r="L93" s="42" t="s">
        <v>562</v>
      </c>
      <c r="M93" s="20" t="s">
        <v>54</v>
      </c>
      <c r="N93" s="32">
        <v>45901.0</v>
      </c>
      <c r="O93" s="32">
        <f t="shared" ref="O93:O97" si="10">N93+60</f>
        <v>45961</v>
      </c>
      <c r="P93" s="32"/>
      <c r="Q93" s="23" t="s">
        <v>563</v>
      </c>
      <c r="R93" s="23" t="s">
        <v>564</v>
      </c>
      <c r="S93" s="20"/>
      <c r="T93" s="20" t="s">
        <v>565</v>
      </c>
    </row>
    <row r="94" hidden="1">
      <c r="A94" s="8" t="s">
        <v>566</v>
      </c>
      <c r="B94" s="9" t="s">
        <v>566</v>
      </c>
      <c r="C94" s="8" t="s">
        <v>57</v>
      </c>
      <c r="D94" s="25">
        <v>36894.0</v>
      </c>
      <c r="E94" s="10">
        <f t="shared" si="1"/>
        <v>25</v>
      </c>
      <c r="F94" s="12" t="s">
        <v>567</v>
      </c>
      <c r="G94" s="10"/>
      <c r="H94" s="18" t="s">
        <v>568</v>
      </c>
      <c r="I94" s="10" t="str">
        <f t="shared" si="8"/>
        <v>Inativo</v>
      </c>
      <c r="J94" s="10" t="s">
        <v>569</v>
      </c>
      <c r="K94" s="14" t="str">
        <f>IFERROR(__xludf.DUMMYFUNCTION("HYPERLINK(""http://wa.me/55""&amp;REGEXREPLACE(J94,""\D+"",""""),LEFT(L94,FIND("" "",L94) - 1)&amp;"".Wpp"")"),"Letícia.Wpp")</f>
        <v>Letícia.Wpp</v>
      </c>
      <c r="L94" s="24" t="s">
        <v>570</v>
      </c>
      <c r="M94" s="18" t="s">
        <v>38</v>
      </c>
      <c r="N94" s="16">
        <v>45737.0</v>
      </c>
      <c r="O94" s="16">
        <f t="shared" si="10"/>
        <v>45797</v>
      </c>
      <c r="P94" s="18"/>
      <c r="Q94" s="18" t="s">
        <v>571</v>
      </c>
      <c r="R94" s="27" t="s">
        <v>572</v>
      </c>
      <c r="S94" s="24"/>
      <c r="T94" s="24"/>
    </row>
    <row r="95" hidden="1">
      <c r="A95" s="42" t="s">
        <v>573</v>
      </c>
      <c r="B95" s="28" t="s">
        <v>573</v>
      </c>
      <c r="C95" s="20" t="s">
        <v>38</v>
      </c>
      <c r="D95" s="29">
        <v>29645.0</v>
      </c>
      <c r="E95" s="20">
        <f t="shared" si="1"/>
        <v>45</v>
      </c>
      <c r="F95" s="30" t="s">
        <v>574</v>
      </c>
      <c r="G95" s="39" t="s">
        <v>575</v>
      </c>
      <c r="H95" s="23" t="s">
        <v>25</v>
      </c>
      <c r="I95" s="20" t="str">
        <f t="shared" si="8"/>
        <v>Inativo</v>
      </c>
      <c r="J95" s="23" t="s">
        <v>576</v>
      </c>
      <c r="K95" s="31" t="str">
        <f>IFERROR(__xludf.DUMMYFUNCTION("HYPERLINK(""http://wa.me/55""&amp;REGEXREPLACE(J95,""\D+"",""""),LEFT(L95,FIND("" "",L95) - 1)&amp;"".Wpp"")"),"Ligiele.Wpp")</f>
        <v>Ligiele.Wpp</v>
      </c>
      <c r="L95" s="42" t="s">
        <v>573</v>
      </c>
      <c r="M95" s="23" t="s">
        <v>69</v>
      </c>
      <c r="N95" s="32">
        <v>45777.0</v>
      </c>
      <c r="O95" s="32">
        <f t="shared" si="10"/>
        <v>45837</v>
      </c>
      <c r="P95" s="23"/>
      <c r="Q95" s="23" t="s">
        <v>577</v>
      </c>
      <c r="R95" s="34" t="s">
        <v>578</v>
      </c>
      <c r="S95" s="42"/>
      <c r="T95" s="42"/>
    </row>
    <row r="96" hidden="1">
      <c r="A96" s="24" t="s">
        <v>579</v>
      </c>
      <c r="B96" s="9" t="s">
        <v>579</v>
      </c>
      <c r="C96" s="10" t="s">
        <v>22</v>
      </c>
      <c r="D96" s="25">
        <v>43554.0</v>
      </c>
      <c r="E96" s="10">
        <f t="shared" si="1"/>
        <v>6</v>
      </c>
      <c r="F96" s="44"/>
      <c r="G96" s="10"/>
      <c r="H96" s="10" t="s">
        <v>25</v>
      </c>
      <c r="I96" s="10" t="str">
        <f t="shared" si="8"/>
        <v>Inativo</v>
      </c>
      <c r="J96" s="10" t="s">
        <v>580</v>
      </c>
      <c r="K96" s="14" t="str">
        <f>IFERROR(__xludf.DUMMYFUNCTION("HYPERLINK(""http://wa.me/55""&amp;REGEXREPLACE(J96,""\D+"",""""),LEFT(L96,FIND("" "",L96) - 1)&amp;"".Wpp"")"),"Naidy.Wpp")</f>
        <v>Naidy.Wpp</v>
      </c>
      <c r="L96" s="8" t="s">
        <v>581</v>
      </c>
      <c r="M96" s="18" t="s">
        <v>582</v>
      </c>
      <c r="N96" s="16">
        <v>45754.0</v>
      </c>
      <c r="O96" s="16">
        <f t="shared" si="10"/>
        <v>45814</v>
      </c>
      <c r="P96" s="17"/>
      <c r="Q96" s="18" t="s">
        <v>583</v>
      </c>
      <c r="R96" s="18">
        <v>1.0239232623E10</v>
      </c>
      <c r="S96" s="8"/>
      <c r="T96" s="8" t="s">
        <v>22</v>
      </c>
    </row>
    <row r="97" hidden="1">
      <c r="A97" s="19" t="s">
        <v>584</v>
      </c>
      <c r="B97" s="28" t="s">
        <v>584</v>
      </c>
      <c r="C97" s="20" t="s">
        <v>38</v>
      </c>
      <c r="D97" s="29">
        <v>39570.0</v>
      </c>
      <c r="E97" s="20">
        <f t="shared" si="1"/>
        <v>17</v>
      </c>
      <c r="F97" s="30" t="s">
        <v>585</v>
      </c>
      <c r="G97" s="39" t="s">
        <v>586</v>
      </c>
      <c r="H97" s="23" t="s">
        <v>25</v>
      </c>
      <c r="I97" s="20" t="str">
        <f t="shared" si="8"/>
        <v>Inativo</v>
      </c>
      <c r="J97" s="20" t="s">
        <v>587</v>
      </c>
      <c r="K97" s="31" t="str">
        <f>IFERROR(__xludf.DUMMYFUNCTION("HYPERLINK(""http://wa.me/55""&amp;REGEXREPLACE(J97,""\D+"",""""),LEFT(L97,FIND("" "",L97) - 1)&amp;"".Wpp"")"),"Tatiane.Wpp")</f>
        <v>Tatiane.Wpp</v>
      </c>
      <c r="L97" s="42" t="s">
        <v>588</v>
      </c>
      <c r="M97" s="23" t="s">
        <v>38</v>
      </c>
      <c r="N97" s="32">
        <v>45749.0</v>
      </c>
      <c r="O97" s="32">
        <f t="shared" si="10"/>
        <v>45809</v>
      </c>
      <c r="P97" s="23"/>
      <c r="Q97" s="23" t="s">
        <v>589</v>
      </c>
      <c r="R97" s="34" t="s">
        <v>590</v>
      </c>
      <c r="S97" s="42"/>
      <c r="T97" s="42"/>
    </row>
    <row r="98">
      <c r="A98" s="8" t="s">
        <v>591</v>
      </c>
      <c r="B98" s="9" t="s">
        <v>591</v>
      </c>
      <c r="C98" s="10" t="s">
        <v>22</v>
      </c>
      <c r="D98" s="11">
        <v>40272.0</v>
      </c>
      <c r="E98" s="10">
        <f t="shared" si="1"/>
        <v>15</v>
      </c>
      <c r="F98" s="12" t="s">
        <v>592</v>
      </c>
      <c r="G98" s="12" t="s">
        <v>593</v>
      </c>
      <c r="H98" s="10" t="s">
        <v>31</v>
      </c>
      <c r="I98" s="10" t="str">
        <f t="shared" si="8"/>
        <v>Ativo</v>
      </c>
      <c r="J98" s="10" t="s">
        <v>594</v>
      </c>
      <c r="K98" s="14" t="str">
        <f>IFERROR(__xludf.DUMMYFUNCTION("HYPERLINK(""http://wa.me/55""&amp;REGEXREPLACE(J98,""\D+"",""""),LEFT(L98,FIND("" "",L98) - 1)&amp;"".Wpp"")"),"Luana.Wpp")</f>
        <v>Luana.Wpp</v>
      </c>
      <c r="L98" s="35" t="s">
        <v>595</v>
      </c>
      <c r="M98" s="10" t="s">
        <v>139</v>
      </c>
      <c r="N98" s="17">
        <v>46042.0</v>
      </c>
      <c r="O98" s="16"/>
      <c r="P98" s="16"/>
      <c r="Q98" s="43" t="s">
        <v>596</v>
      </c>
      <c r="R98" s="37" t="s">
        <v>597</v>
      </c>
      <c r="S98" s="10" t="s">
        <v>598</v>
      </c>
      <c r="T98" s="10" t="s">
        <v>472</v>
      </c>
    </row>
    <row r="99" hidden="1">
      <c r="A99" s="19" t="s">
        <v>599</v>
      </c>
      <c r="B99" s="28" t="s">
        <v>599</v>
      </c>
      <c r="C99" s="20" t="s">
        <v>22</v>
      </c>
      <c r="D99" s="29">
        <v>42795.0</v>
      </c>
      <c r="E99" s="20">
        <f t="shared" si="1"/>
        <v>9</v>
      </c>
      <c r="F99" s="41"/>
      <c r="G99" s="39" t="s">
        <v>600</v>
      </c>
      <c r="H99" s="20" t="s">
        <v>25</v>
      </c>
      <c r="I99" s="20" t="str">
        <f t="shared" si="8"/>
        <v>Inativo</v>
      </c>
      <c r="J99" s="20" t="s">
        <v>601</v>
      </c>
      <c r="K99" s="31" t="str">
        <f>IFERROR(__xludf.DUMMYFUNCTION("HYPERLINK(""http://wa.me/55""&amp;REGEXREPLACE(J99,""\D+"",""""),LEFT(L99,FIND("" "",L99) - 1)&amp;"".Wpp"")"),"Shelen.Wpp")</f>
        <v>Shelen.Wpp</v>
      </c>
      <c r="L99" s="42" t="s">
        <v>602</v>
      </c>
      <c r="M99" s="23" t="s">
        <v>256</v>
      </c>
      <c r="N99" s="32">
        <v>45784.0</v>
      </c>
      <c r="O99" s="32">
        <f t="shared" ref="O99:O109" si="11">N99+60</f>
        <v>45844</v>
      </c>
      <c r="P99" s="23"/>
      <c r="Q99" s="23" t="s">
        <v>603</v>
      </c>
      <c r="R99" s="23">
        <v>1.2285417608E10</v>
      </c>
      <c r="S99" s="42"/>
      <c r="T99" s="42"/>
    </row>
    <row r="100" hidden="1">
      <c r="A100" s="8" t="s">
        <v>604</v>
      </c>
      <c r="B100" s="9" t="s">
        <v>604</v>
      </c>
      <c r="C100" s="10" t="s">
        <v>30</v>
      </c>
      <c r="D100" s="25">
        <v>33021.0</v>
      </c>
      <c r="E100" s="10">
        <f t="shared" si="1"/>
        <v>35</v>
      </c>
      <c r="F100" s="26"/>
      <c r="G100" s="18"/>
      <c r="H100" s="10" t="s">
        <v>25</v>
      </c>
      <c r="I100" s="10" t="str">
        <f t="shared" si="8"/>
        <v>Inativo</v>
      </c>
      <c r="J100" s="10" t="s">
        <v>605</v>
      </c>
      <c r="K100" s="14" t="str">
        <f>IFERROR(__xludf.DUMMYFUNCTION("HYPERLINK(""http://wa.me/55""&amp;REGEXREPLACE(J100,""\D+"",""""),LEFT(L100,FIND("" "",L100) - 1)&amp;"".Wpp"")"),"Lucas.Wpp")</f>
        <v>Lucas.Wpp</v>
      </c>
      <c r="L100" s="24" t="s">
        <v>606</v>
      </c>
      <c r="M100" s="18" t="s">
        <v>22</v>
      </c>
      <c r="N100" s="16">
        <v>45910.0</v>
      </c>
      <c r="O100" s="16">
        <f t="shared" si="11"/>
        <v>45970</v>
      </c>
      <c r="P100" s="16"/>
      <c r="Q100" s="18" t="s">
        <v>607</v>
      </c>
      <c r="R100" s="18">
        <v>1.2919762729E10</v>
      </c>
      <c r="S100" s="18"/>
      <c r="T100" s="18"/>
    </row>
    <row r="101" hidden="1">
      <c r="A101" s="19" t="s">
        <v>608</v>
      </c>
      <c r="B101" s="28" t="s">
        <v>608</v>
      </c>
      <c r="C101" s="20" t="s">
        <v>22</v>
      </c>
      <c r="D101" s="29">
        <v>41119.0</v>
      </c>
      <c r="E101" s="20">
        <f t="shared" si="1"/>
        <v>13</v>
      </c>
      <c r="F101" s="41"/>
      <c r="G101" s="23"/>
      <c r="H101" s="20" t="s">
        <v>25</v>
      </c>
      <c r="I101" s="20" t="str">
        <f t="shared" si="8"/>
        <v>Inativo</v>
      </c>
      <c r="J101" s="20" t="s">
        <v>609</v>
      </c>
      <c r="K101" s="31" t="str">
        <f>IFERROR(__xludf.DUMMYFUNCTION("HYPERLINK(""http://wa.me/55""&amp;REGEXREPLACE(J101,""\D+"",""""),LEFT(L101,FIND("" "",L101) - 1)&amp;"".Wpp"")"),"Irineia.Wpp")</f>
        <v>Irineia.Wpp</v>
      </c>
      <c r="L101" s="42" t="s">
        <v>610</v>
      </c>
      <c r="M101" s="23" t="s">
        <v>200</v>
      </c>
      <c r="N101" s="32">
        <v>45756.0</v>
      </c>
      <c r="O101" s="32">
        <f t="shared" si="11"/>
        <v>45816</v>
      </c>
      <c r="P101" s="23"/>
      <c r="Q101" s="23" t="s">
        <v>611</v>
      </c>
      <c r="R101" s="34" t="s">
        <v>612</v>
      </c>
      <c r="S101" s="42"/>
      <c r="T101" s="42"/>
    </row>
    <row r="102" hidden="1">
      <c r="A102" s="8" t="s">
        <v>613</v>
      </c>
      <c r="B102" s="9" t="s">
        <v>613</v>
      </c>
      <c r="C102" s="10" t="s">
        <v>30</v>
      </c>
      <c r="D102" s="11">
        <v>35263.0</v>
      </c>
      <c r="E102" s="10">
        <f t="shared" si="1"/>
        <v>29</v>
      </c>
      <c r="F102" s="12" t="s">
        <v>614</v>
      </c>
      <c r="G102" s="13" t="s">
        <v>615</v>
      </c>
      <c r="H102" s="10" t="s">
        <v>52</v>
      </c>
      <c r="I102" s="10" t="str">
        <f t="shared" si="8"/>
        <v>Ativo</v>
      </c>
      <c r="J102" s="10" t="s">
        <v>616</v>
      </c>
      <c r="K102" s="14" t="str">
        <f>IFERROR(__xludf.DUMMYFUNCTION("HYPERLINK(""http://wa.me/55""&amp;REGEXREPLACE(J102,""\D+"",""""),LEFT(L102,FIND("" "",L102) - 1)&amp;"".Wpp"")"),"Lucas.Wpp")</f>
        <v>Lucas.Wpp</v>
      </c>
      <c r="L102" s="8" t="s">
        <v>613</v>
      </c>
      <c r="M102" s="10" t="s">
        <v>63</v>
      </c>
      <c r="N102" s="17">
        <v>45931.0</v>
      </c>
      <c r="O102" s="16">
        <f t="shared" si="11"/>
        <v>45991</v>
      </c>
      <c r="P102" s="17"/>
      <c r="Q102" s="8" t="s">
        <v>617</v>
      </c>
      <c r="R102" s="18"/>
      <c r="S102" s="10"/>
      <c r="T102" s="10">
        <v>-2026.0</v>
      </c>
    </row>
    <row r="103" hidden="1">
      <c r="A103" s="19" t="s">
        <v>618</v>
      </c>
      <c r="B103" s="28" t="s">
        <v>618</v>
      </c>
      <c r="C103" s="20" t="s">
        <v>30</v>
      </c>
      <c r="D103" s="29">
        <v>28490.0</v>
      </c>
      <c r="E103" s="20">
        <f t="shared" si="1"/>
        <v>48</v>
      </c>
      <c r="F103" s="41"/>
      <c r="G103" s="23"/>
      <c r="H103" s="20" t="s">
        <v>25</v>
      </c>
      <c r="I103" s="20" t="str">
        <f t="shared" si="8"/>
        <v>Inativo</v>
      </c>
      <c r="J103" s="20" t="s">
        <v>619</v>
      </c>
      <c r="K103" s="31" t="str">
        <f>IFERROR(__xludf.DUMMYFUNCTION("HYPERLINK(""http://wa.me/55""&amp;REGEXREPLACE(J103,""\D+"",""""),LEFT(L103,FIND("" "",L103) - 1)&amp;"".Wpp"")"),"Lucélia.Wpp")</f>
        <v>Lucélia.Wpp</v>
      </c>
      <c r="L103" s="19" t="s">
        <v>620</v>
      </c>
      <c r="M103" s="23" t="s">
        <v>256</v>
      </c>
      <c r="N103" s="32">
        <v>45832.0</v>
      </c>
      <c r="O103" s="32">
        <f t="shared" si="11"/>
        <v>45892</v>
      </c>
      <c r="P103" s="33">
        <v>45978.0</v>
      </c>
      <c r="Q103" s="23" t="s">
        <v>621</v>
      </c>
      <c r="R103" s="23" t="s">
        <v>622</v>
      </c>
      <c r="S103" s="19"/>
      <c r="T103" s="19" t="s">
        <v>30</v>
      </c>
    </row>
    <row r="104" hidden="1">
      <c r="A104" s="8" t="s">
        <v>623</v>
      </c>
      <c r="B104" s="9" t="s">
        <v>623</v>
      </c>
      <c r="C104" s="10" t="s">
        <v>38</v>
      </c>
      <c r="D104" s="25">
        <v>41563.0</v>
      </c>
      <c r="E104" s="10">
        <f t="shared" si="1"/>
        <v>12</v>
      </c>
      <c r="F104" s="26"/>
      <c r="G104" s="18"/>
      <c r="H104" s="18" t="s">
        <v>25</v>
      </c>
      <c r="I104" s="10" t="str">
        <f t="shared" si="8"/>
        <v>Inativo</v>
      </c>
      <c r="J104" s="10" t="s">
        <v>624</v>
      </c>
      <c r="K104" s="14" t="str">
        <f>IFERROR(__xludf.DUMMYFUNCTION("HYPERLINK(""http://wa.me/55""&amp;REGEXREPLACE(J104,""\D+"",""""),LEFT(L104,FIND("" "",L104) - 1)&amp;"".Wpp"")"),"Orquenea.Wpp")</f>
        <v>Orquenea.Wpp</v>
      </c>
      <c r="L104" s="24" t="s">
        <v>625</v>
      </c>
      <c r="M104" s="18" t="s">
        <v>626</v>
      </c>
      <c r="N104" s="16">
        <v>45734.0</v>
      </c>
      <c r="O104" s="16">
        <f t="shared" si="11"/>
        <v>45794</v>
      </c>
      <c r="P104" s="18"/>
      <c r="Q104" s="18" t="s">
        <v>627</v>
      </c>
      <c r="R104" s="18" t="s">
        <v>628</v>
      </c>
      <c r="S104" s="24"/>
      <c r="T104" s="24"/>
    </row>
    <row r="105" hidden="1">
      <c r="A105" s="19" t="s">
        <v>629</v>
      </c>
      <c r="B105" s="28" t="s">
        <v>629</v>
      </c>
      <c r="C105" s="20" t="s">
        <v>38</v>
      </c>
      <c r="D105" s="29">
        <v>43350.0</v>
      </c>
      <c r="E105" s="20">
        <f t="shared" si="1"/>
        <v>7</v>
      </c>
      <c r="F105" s="30" t="s">
        <v>630</v>
      </c>
      <c r="G105" s="39" t="s">
        <v>631</v>
      </c>
      <c r="H105" s="23" t="s">
        <v>25</v>
      </c>
      <c r="I105" s="20" t="str">
        <f t="shared" si="8"/>
        <v>Inativo</v>
      </c>
      <c r="J105" s="20" t="s">
        <v>632</v>
      </c>
      <c r="K105" s="31" t="str">
        <f>IFERROR(__xludf.DUMMYFUNCTION("HYPERLINK(""http://wa.me/55""&amp;REGEXREPLACE(J105,""\D+"",""""),LEFT(L105,FIND("" "",L105) - 1)&amp;"".Wpp"")"),"Natália.Wpp")</f>
        <v>Natália.Wpp</v>
      </c>
      <c r="L105" s="19" t="s">
        <v>633</v>
      </c>
      <c r="M105" s="23" t="s">
        <v>101</v>
      </c>
      <c r="N105" s="32">
        <v>45789.0</v>
      </c>
      <c r="O105" s="32">
        <f t="shared" si="11"/>
        <v>45849</v>
      </c>
      <c r="P105" s="23"/>
      <c r="Q105" s="23" t="s">
        <v>634</v>
      </c>
      <c r="R105" s="23">
        <v>1.2497429628E10</v>
      </c>
      <c r="S105" s="42"/>
      <c r="T105" s="42"/>
    </row>
    <row r="106" hidden="1">
      <c r="A106" s="50" t="s">
        <v>635</v>
      </c>
      <c r="B106" s="9" t="s">
        <v>635</v>
      </c>
      <c r="C106" s="8" t="s">
        <v>57</v>
      </c>
      <c r="D106" s="25">
        <v>30016.0</v>
      </c>
      <c r="E106" s="10">
        <f t="shared" si="1"/>
        <v>44</v>
      </c>
      <c r="F106" s="26"/>
      <c r="G106" s="18"/>
      <c r="H106" s="18" t="s">
        <v>568</v>
      </c>
      <c r="I106" s="10" t="str">
        <f t="shared" si="8"/>
        <v>Inativo</v>
      </c>
      <c r="J106" s="10" t="s">
        <v>636</v>
      </c>
      <c r="K106" s="14" t="str">
        <f>IFERROR(__xludf.DUMMYFUNCTION("HYPERLINK(""http://wa.me/55""&amp;REGEXREPLACE(J106,""\D+"",""""),LEFT(L106,FIND("" "",L106) - 1)&amp;"".Wpp"")"),"Luiz.Wpp")</f>
        <v>Luiz.Wpp</v>
      </c>
      <c r="L106" s="24" t="s">
        <v>635</v>
      </c>
      <c r="M106" s="18" t="s">
        <v>38</v>
      </c>
      <c r="N106" s="16">
        <v>45777.0</v>
      </c>
      <c r="O106" s="16">
        <f t="shared" si="11"/>
        <v>45837</v>
      </c>
      <c r="P106" s="18"/>
      <c r="Q106" s="18" t="s">
        <v>637</v>
      </c>
      <c r="R106" s="27" t="s">
        <v>638</v>
      </c>
      <c r="S106" s="24"/>
      <c r="T106" s="24"/>
    </row>
    <row r="107" hidden="1">
      <c r="A107" s="19" t="s">
        <v>639</v>
      </c>
      <c r="B107" s="28" t="s">
        <v>639</v>
      </c>
      <c r="C107" s="19" t="s">
        <v>57</v>
      </c>
      <c r="D107" s="29">
        <v>28213.0</v>
      </c>
      <c r="E107" s="20">
        <f t="shared" si="1"/>
        <v>48</v>
      </c>
      <c r="F107" s="41"/>
      <c r="G107" s="23"/>
      <c r="H107" s="23" t="s">
        <v>568</v>
      </c>
      <c r="I107" s="20" t="str">
        <f t="shared" si="8"/>
        <v>Inativo</v>
      </c>
      <c r="J107" s="20" t="s">
        <v>640</v>
      </c>
      <c r="K107" s="31" t="str">
        <f>IFERROR(__xludf.DUMMYFUNCTION("HYPERLINK(""http://wa.me/55""&amp;REGEXREPLACE(J107,""\D+"",""""),LEFT(L107,FIND("" "",L107) - 1)&amp;"".Wpp"")"),"Luz.Wpp")</f>
        <v>Luz.Wpp</v>
      </c>
      <c r="L107" s="42" t="s">
        <v>641</v>
      </c>
      <c r="M107" s="23" t="s">
        <v>94</v>
      </c>
      <c r="N107" s="32">
        <v>45743.0</v>
      </c>
      <c r="O107" s="32">
        <f t="shared" si="11"/>
        <v>45803</v>
      </c>
      <c r="P107" s="23"/>
      <c r="Q107" s="23" t="s">
        <v>642</v>
      </c>
      <c r="R107" s="34" t="s">
        <v>643</v>
      </c>
      <c r="S107" s="42"/>
      <c r="T107" s="42"/>
    </row>
    <row r="108" hidden="1">
      <c r="A108" s="50" t="s">
        <v>644</v>
      </c>
      <c r="B108" s="9" t="s">
        <v>644</v>
      </c>
      <c r="C108" s="10" t="s">
        <v>22</v>
      </c>
      <c r="D108" s="25">
        <v>34701.0</v>
      </c>
      <c r="E108" s="10">
        <f t="shared" si="1"/>
        <v>31</v>
      </c>
      <c r="F108" s="12" t="s">
        <v>645</v>
      </c>
      <c r="G108" s="12" t="s">
        <v>646</v>
      </c>
      <c r="H108" s="10" t="s">
        <v>25</v>
      </c>
      <c r="I108" s="10" t="str">
        <f t="shared" si="8"/>
        <v>Inativo</v>
      </c>
      <c r="J108" s="10" t="s">
        <v>647</v>
      </c>
      <c r="K108" s="14" t="str">
        <f>IFERROR(__xludf.DUMMYFUNCTION("HYPERLINK(""http://wa.me/55""&amp;REGEXREPLACE(J108,""\D+"",""""),LEFT(L108,FIND("" "",L108) - 1)&amp;"".Wpp"")"),"Lydia.Wpp")</f>
        <v>Lydia.Wpp</v>
      </c>
      <c r="L108" s="24" t="s">
        <v>644</v>
      </c>
      <c r="M108" s="10" t="s">
        <v>54</v>
      </c>
      <c r="N108" s="17">
        <v>45904.0</v>
      </c>
      <c r="O108" s="16">
        <f t="shared" si="11"/>
        <v>45964</v>
      </c>
      <c r="P108" s="16"/>
      <c r="Q108" s="18" t="s">
        <v>648</v>
      </c>
      <c r="R108" s="18">
        <v>1.2631510607E10</v>
      </c>
      <c r="S108" s="18"/>
      <c r="T108" s="18"/>
    </row>
    <row r="109" hidden="1">
      <c r="A109" s="19" t="s">
        <v>649</v>
      </c>
      <c r="B109" s="28" t="s">
        <v>650</v>
      </c>
      <c r="C109" s="20" t="s">
        <v>30</v>
      </c>
      <c r="D109" s="38">
        <v>30621.0</v>
      </c>
      <c r="E109" s="20">
        <f t="shared" si="1"/>
        <v>42</v>
      </c>
      <c r="F109" s="30" t="s">
        <v>651</v>
      </c>
      <c r="G109" s="23"/>
      <c r="H109" s="20" t="s">
        <v>25</v>
      </c>
      <c r="I109" s="20" t="str">
        <f t="shared" si="8"/>
        <v>Inativo</v>
      </c>
      <c r="J109" s="20" t="s">
        <v>652</v>
      </c>
      <c r="K109" s="31" t="str">
        <f>IFERROR(__xludf.DUMMYFUNCTION("HYPERLINK(""http://wa.me/55""&amp;REGEXREPLACE(J109,""\D+"",""""),LEFT(L109,FIND("" "",L109) - 1)&amp;"".Wpp"")"),"Maíra.Wpp")</f>
        <v>Maíra.Wpp</v>
      </c>
      <c r="L109" s="19" t="s">
        <v>650</v>
      </c>
      <c r="M109" s="20" t="s">
        <v>54</v>
      </c>
      <c r="N109" s="33">
        <v>45926.0</v>
      </c>
      <c r="O109" s="32">
        <f t="shared" si="11"/>
        <v>45986</v>
      </c>
      <c r="P109" s="32"/>
      <c r="Q109" s="20" t="s">
        <v>653</v>
      </c>
      <c r="R109" s="23"/>
      <c r="S109" s="20"/>
      <c r="T109" s="20"/>
    </row>
    <row r="110">
      <c r="A110" s="8" t="s">
        <v>654</v>
      </c>
      <c r="B110" s="8"/>
      <c r="C110" s="10" t="s">
        <v>30</v>
      </c>
      <c r="D110" s="11">
        <v>41472.0</v>
      </c>
      <c r="E110" s="10">
        <f t="shared" si="1"/>
        <v>12</v>
      </c>
      <c r="F110" s="44"/>
      <c r="G110" s="10"/>
      <c r="H110" s="10" t="s">
        <v>31</v>
      </c>
      <c r="I110" s="10" t="s">
        <v>32</v>
      </c>
      <c r="J110" s="10" t="s">
        <v>655</v>
      </c>
      <c r="K110" s="8"/>
      <c r="L110" s="8" t="s">
        <v>656</v>
      </c>
      <c r="M110" s="10" t="s">
        <v>424</v>
      </c>
      <c r="N110" s="17">
        <v>46044.0</v>
      </c>
      <c r="O110" s="10"/>
      <c r="P110" s="18"/>
      <c r="Q110" s="10"/>
      <c r="R110" s="10"/>
      <c r="S110" s="10"/>
      <c r="T110" s="10"/>
    </row>
    <row r="111" hidden="1">
      <c r="A111" s="19" t="s">
        <v>657</v>
      </c>
      <c r="B111" s="28" t="s">
        <v>657</v>
      </c>
      <c r="C111" s="20" t="s">
        <v>22</v>
      </c>
      <c r="D111" s="29">
        <v>42102.0</v>
      </c>
      <c r="E111" s="20">
        <f t="shared" si="1"/>
        <v>10</v>
      </c>
      <c r="F111" s="41"/>
      <c r="G111" s="23"/>
      <c r="H111" s="20" t="s">
        <v>25</v>
      </c>
      <c r="I111" s="20" t="str">
        <f t="shared" ref="I111:I124" si="12">IF(OR(H111="Finalizado",H111="Desistência"),"Inativo","Ativo")</f>
        <v>Inativo</v>
      </c>
      <c r="J111" s="20" t="s">
        <v>658</v>
      </c>
      <c r="K111" s="31" t="str">
        <f>IFERROR(__xludf.DUMMYFUNCTION("HYPERLINK(""http://wa.me/55""&amp;REGEXREPLACE(J111,""\D+"",""""),LEFT(L111,FIND("" "",L111) - 1)&amp;"".Wpp"")"),"Eliene.Wpp")</f>
        <v>Eliene.Wpp</v>
      </c>
      <c r="L111" s="42" t="s">
        <v>659</v>
      </c>
      <c r="M111" s="20" t="s">
        <v>54</v>
      </c>
      <c r="N111" s="32">
        <v>45891.0</v>
      </c>
      <c r="O111" s="32">
        <f t="shared" ref="O111:O117" si="13">N111+60</f>
        <v>45951</v>
      </c>
      <c r="P111" s="32"/>
      <c r="Q111" s="23" t="s">
        <v>660</v>
      </c>
      <c r="R111" s="34" t="s">
        <v>661</v>
      </c>
      <c r="S111" s="42"/>
      <c r="T111" s="42"/>
    </row>
    <row r="112" hidden="1">
      <c r="A112" s="55" t="s">
        <v>662</v>
      </c>
      <c r="B112" s="56" t="s">
        <v>662</v>
      </c>
      <c r="C112" s="54" t="s">
        <v>30</v>
      </c>
      <c r="D112" s="57">
        <v>43411.0</v>
      </c>
      <c r="E112" s="10">
        <f t="shared" si="1"/>
        <v>7</v>
      </c>
      <c r="F112" s="58" t="s">
        <v>663</v>
      </c>
      <c r="G112" s="51"/>
      <c r="H112" s="54" t="s">
        <v>25</v>
      </c>
      <c r="I112" s="54" t="str">
        <f t="shared" si="12"/>
        <v>Inativo</v>
      </c>
      <c r="J112" s="54" t="s">
        <v>664</v>
      </c>
      <c r="K112" s="66" t="str">
        <f>IFERROR(__xludf.DUMMYFUNCTION("HYPERLINK(""http://wa.me/55""&amp;REGEXREPLACE(J112,""\D+"",""""),LEFT(L112,FIND("" "",L112) - 1)&amp;"".Wpp"")"),"Fabiana.Wpp")</f>
        <v>Fabiana.Wpp</v>
      </c>
      <c r="L112" s="67" t="s">
        <v>665</v>
      </c>
      <c r="M112" s="51" t="s">
        <v>256</v>
      </c>
      <c r="N112" s="61">
        <v>45818.0</v>
      </c>
      <c r="O112" s="61">
        <f t="shared" si="13"/>
        <v>45878</v>
      </c>
      <c r="P112" s="62">
        <v>46006.0</v>
      </c>
      <c r="Q112" s="51" t="s">
        <v>666</v>
      </c>
      <c r="R112" s="68" t="s">
        <v>667</v>
      </c>
      <c r="S112" s="54"/>
      <c r="T112" s="54"/>
    </row>
    <row r="113" hidden="1">
      <c r="A113" s="19" t="s">
        <v>668</v>
      </c>
      <c r="B113" s="28" t="s">
        <v>668</v>
      </c>
      <c r="C113" s="20" t="s">
        <v>38</v>
      </c>
      <c r="D113" s="29">
        <v>45748.0</v>
      </c>
      <c r="E113" s="20">
        <f t="shared" si="1"/>
        <v>0</v>
      </c>
      <c r="F113" s="30" t="s">
        <v>669</v>
      </c>
      <c r="G113" s="39" t="s">
        <v>670</v>
      </c>
      <c r="H113" s="23" t="s">
        <v>25</v>
      </c>
      <c r="I113" s="20" t="str">
        <f t="shared" si="12"/>
        <v>Inativo</v>
      </c>
      <c r="J113" s="20" t="s">
        <v>671</v>
      </c>
      <c r="K113" s="31" t="str">
        <f>IFERROR(__xludf.DUMMYFUNCTION("HYPERLINK(""http://wa.me/55""&amp;REGEXREPLACE(J113,""\D+"",""""),LEFT(L113,FIND("" "",L113) - 1)&amp;"".Wpp"")"),"Maria.Wpp")</f>
        <v>Maria.Wpp</v>
      </c>
      <c r="L113" s="42" t="s">
        <v>668</v>
      </c>
      <c r="M113" s="23" t="s">
        <v>87</v>
      </c>
      <c r="N113" s="32">
        <v>45744.0</v>
      </c>
      <c r="O113" s="32">
        <f t="shared" si="13"/>
        <v>45804</v>
      </c>
      <c r="P113" s="23"/>
      <c r="Q113" s="23" t="s">
        <v>672</v>
      </c>
      <c r="R113" s="34" t="s">
        <v>673</v>
      </c>
      <c r="S113" s="42"/>
      <c r="T113" s="42"/>
    </row>
    <row r="114" hidden="1">
      <c r="A114" s="8" t="s">
        <v>674</v>
      </c>
      <c r="B114" s="9" t="s">
        <v>674</v>
      </c>
      <c r="C114" s="10" t="s">
        <v>22</v>
      </c>
      <c r="D114" s="11">
        <v>43318.0</v>
      </c>
      <c r="E114" s="10">
        <f t="shared" si="1"/>
        <v>7</v>
      </c>
      <c r="F114" s="12" t="s">
        <v>675</v>
      </c>
      <c r="G114" s="13" t="s">
        <v>676</v>
      </c>
      <c r="H114" s="10" t="s">
        <v>25</v>
      </c>
      <c r="I114" s="10" t="str">
        <f t="shared" si="12"/>
        <v>Inativo</v>
      </c>
      <c r="J114" s="10" t="s">
        <v>677</v>
      </c>
      <c r="K114" s="14" t="str">
        <f>IFERROR(__xludf.DUMMYFUNCTION("HYPERLINK(""http://wa.me/55""&amp;REGEXREPLACE(J114,""\D+"",""""),LEFT(L114,FIND("" "",L114) - 1)&amp;"".Wpp"")"),"Caroline.Wpp")</f>
        <v>Caroline.Wpp</v>
      </c>
      <c r="L114" s="8" t="s">
        <v>678</v>
      </c>
      <c r="M114" s="10" t="s">
        <v>54</v>
      </c>
      <c r="N114" s="17">
        <v>45952.0</v>
      </c>
      <c r="O114" s="16">
        <f t="shared" si="13"/>
        <v>46012</v>
      </c>
      <c r="P114" s="18"/>
      <c r="Q114" s="10" t="s">
        <v>679</v>
      </c>
      <c r="R114" s="10">
        <v>1.7240596613E10</v>
      </c>
      <c r="S114" s="10"/>
      <c r="T114" s="10">
        <v>-2026.0</v>
      </c>
    </row>
    <row r="115" hidden="1">
      <c r="A115" s="19" t="s">
        <v>680</v>
      </c>
      <c r="B115" s="28" t="s">
        <v>680</v>
      </c>
      <c r="C115" s="20" t="s">
        <v>22</v>
      </c>
      <c r="D115" s="29">
        <v>30108.0</v>
      </c>
      <c r="E115" s="20">
        <f t="shared" si="1"/>
        <v>43</v>
      </c>
      <c r="F115" s="30" t="s">
        <v>681</v>
      </c>
      <c r="G115" s="23"/>
      <c r="H115" s="20" t="s">
        <v>25</v>
      </c>
      <c r="I115" s="20" t="str">
        <f t="shared" si="12"/>
        <v>Inativo</v>
      </c>
      <c r="J115" s="20" t="s">
        <v>682</v>
      </c>
      <c r="K115" s="31" t="str">
        <f>IFERROR(__xludf.DUMMYFUNCTION("HYPERLINK(""http://wa.me/55""&amp;REGEXREPLACE(J115,""\D+"",""""),LEFT(L115,FIND("" "",L115) - 1)&amp;"".Wpp"")"),"Maria.Wpp")</f>
        <v>Maria.Wpp</v>
      </c>
      <c r="L115" s="19" t="s">
        <v>680</v>
      </c>
      <c r="M115" s="20" t="s">
        <v>54</v>
      </c>
      <c r="N115" s="32">
        <v>45888.0</v>
      </c>
      <c r="O115" s="32">
        <f t="shared" si="13"/>
        <v>45948</v>
      </c>
      <c r="P115" s="33">
        <v>45971.0</v>
      </c>
      <c r="Q115" s="23" t="s">
        <v>683</v>
      </c>
      <c r="R115" s="23"/>
      <c r="S115" s="42"/>
      <c r="T115" s="42"/>
    </row>
    <row r="116" hidden="1">
      <c r="A116" s="8" t="s">
        <v>684</v>
      </c>
      <c r="B116" s="9" t="s">
        <v>684</v>
      </c>
      <c r="C116" s="10" t="s">
        <v>22</v>
      </c>
      <c r="D116" s="25">
        <v>24919.0</v>
      </c>
      <c r="E116" s="10">
        <f t="shared" si="1"/>
        <v>57</v>
      </c>
      <c r="F116" s="12" t="s">
        <v>685</v>
      </c>
      <c r="G116" s="13" t="s">
        <v>686</v>
      </c>
      <c r="H116" s="10" t="s">
        <v>25</v>
      </c>
      <c r="I116" s="10" t="str">
        <f t="shared" si="12"/>
        <v>Inativo</v>
      </c>
      <c r="J116" s="10" t="s">
        <v>687</v>
      </c>
      <c r="K116" s="14" t="str">
        <f>IFERROR(__xludf.DUMMYFUNCTION("HYPERLINK(""http://wa.me/55""&amp;REGEXREPLACE(J116,""\D+"",""""),LEFT(L116,FIND("" "",L116) - 1)&amp;"".Wpp"")"),"Maria.Wpp")</f>
        <v>Maria.Wpp</v>
      </c>
      <c r="L116" s="8" t="s">
        <v>684</v>
      </c>
      <c r="M116" s="18" t="s">
        <v>38</v>
      </c>
      <c r="N116" s="16">
        <v>45882.0</v>
      </c>
      <c r="O116" s="16">
        <f t="shared" si="13"/>
        <v>45942</v>
      </c>
      <c r="P116" s="16"/>
      <c r="Q116" s="18" t="s">
        <v>688</v>
      </c>
      <c r="R116" s="18">
        <v>7.947484562E10</v>
      </c>
      <c r="S116" s="18"/>
      <c r="T116" s="18"/>
    </row>
    <row r="117" hidden="1">
      <c r="A117" s="19" t="s">
        <v>689</v>
      </c>
      <c r="B117" s="28" t="s">
        <v>689</v>
      </c>
      <c r="C117" s="20" t="s">
        <v>22</v>
      </c>
      <c r="D117" s="38">
        <v>41687.0</v>
      </c>
      <c r="E117" s="20">
        <f t="shared" si="1"/>
        <v>12</v>
      </c>
      <c r="F117" s="30" t="s">
        <v>690</v>
      </c>
      <c r="G117" s="30" t="s">
        <v>691</v>
      </c>
      <c r="H117" s="20" t="s">
        <v>52</v>
      </c>
      <c r="I117" s="20" t="str">
        <f t="shared" si="12"/>
        <v>Ativo</v>
      </c>
      <c r="J117" s="20" t="s">
        <v>692</v>
      </c>
      <c r="K117" s="31" t="str">
        <f>IFERROR(__xludf.DUMMYFUNCTION("HYPERLINK(""http://wa.me/55""&amp;REGEXREPLACE(J117,""\D+"",""""),LEFT(L117,FIND("" "",L117) - 1)&amp;"".Wpp"")"),"Verisa.Wpp")</f>
        <v>Verisa.Wpp</v>
      </c>
      <c r="L117" s="45" t="s">
        <v>693</v>
      </c>
      <c r="M117" s="20" t="s">
        <v>54</v>
      </c>
      <c r="N117" s="33">
        <v>45939.0</v>
      </c>
      <c r="O117" s="32">
        <f t="shared" si="13"/>
        <v>45999</v>
      </c>
      <c r="P117" s="23"/>
      <c r="Q117" s="46" t="s">
        <v>694</v>
      </c>
      <c r="R117" s="47" t="s">
        <v>695</v>
      </c>
      <c r="S117" s="20" t="s">
        <v>57</v>
      </c>
      <c r="T117" s="20"/>
    </row>
    <row r="118">
      <c r="A118" s="8" t="s">
        <v>696</v>
      </c>
      <c r="B118" s="9" t="s">
        <v>696</v>
      </c>
      <c r="C118" s="10" t="s">
        <v>22</v>
      </c>
      <c r="D118" s="11">
        <v>26731.0</v>
      </c>
      <c r="E118" s="10">
        <f t="shared" si="1"/>
        <v>53</v>
      </c>
      <c r="F118" s="12" t="s">
        <v>697</v>
      </c>
      <c r="G118" s="12" t="s">
        <v>698</v>
      </c>
      <c r="H118" s="10" t="s">
        <v>31</v>
      </c>
      <c r="I118" s="10" t="str">
        <f t="shared" si="12"/>
        <v>Ativo</v>
      </c>
      <c r="J118" s="10" t="s">
        <v>699</v>
      </c>
      <c r="K118" s="14" t="str">
        <f>IFERROR(__xludf.DUMMYFUNCTION("HYPERLINK(""http://wa.me/55""&amp;REGEXREPLACE(J118,""\D+"",""""),LEFT(L118,FIND("" "",L118) - 1)&amp;"".Wpp"")"),"Jonas.Wpp")</f>
        <v>Jonas.Wpp</v>
      </c>
      <c r="L118" s="35" t="s">
        <v>700</v>
      </c>
      <c r="M118" s="10" t="s">
        <v>500</v>
      </c>
      <c r="N118" s="17">
        <v>46048.0</v>
      </c>
      <c r="O118" s="16"/>
      <c r="P118" s="17"/>
      <c r="Q118" s="43" t="s">
        <v>701</v>
      </c>
      <c r="R118" s="37" t="s">
        <v>702</v>
      </c>
      <c r="S118" s="10" t="s">
        <v>703</v>
      </c>
      <c r="T118" s="10"/>
    </row>
    <row r="119" hidden="1">
      <c r="A119" s="42" t="s">
        <v>704</v>
      </c>
      <c r="B119" s="28" t="s">
        <v>704</v>
      </c>
      <c r="C119" s="20" t="s">
        <v>38</v>
      </c>
      <c r="D119" s="29">
        <v>39165.0</v>
      </c>
      <c r="E119" s="20">
        <f t="shared" si="1"/>
        <v>18</v>
      </c>
      <c r="F119" s="30" t="s">
        <v>705</v>
      </c>
      <c r="G119" s="39" t="s">
        <v>706</v>
      </c>
      <c r="H119" s="23" t="s">
        <v>25</v>
      </c>
      <c r="I119" s="20" t="str">
        <f t="shared" si="12"/>
        <v>Inativo</v>
      </c>
      <c r="J119" s="23" t="s">
        <v>707</v>
      </c>
      <c r="K119" s="31" t="str">
        <f>IFERROR(__xludf.DUMMYFUNCTION("HYPERLINK(""http://wa.me/55""&amp;REGEXREPLACE(J119,""\D+"",""""),LEFT(L119,FIND("" "",L119) - 1)&amp;"".Wpp"")"),"José.Wpp")</f>
        <v>José.Wpp</v>
      </c>
      <c r="L119" s="42" t="s">
        <v>708</v>
      </c>
      <c r="M119" s="23" t="s">
        <v>256</v>
      </c>
      <c r="N119" s="32">
        <v>45784.0</v>
      </c>
      <c r="O119" s="32">
        <f t="shared" ref="O119:O121" si="14">N119+60</f>
        <v>45844</v>
      </c>
      <c r="P119" s="23"/>
      <c r="Q119" s="23" t="s">
        <v>709</v>
      </c>
      <c r="R119" s="23" t="s">
        <v>710</v>
      </c>
      <c r="S119" s="42"/>
      <c r="T119" s="42"/>
    </row>
    <row r="120" hidden="1">
      <c r="A120" s="8" t="s">
        <v>711</v>
      </c>
      <c r="B120" s="9" t="s">
        <v>711</v>
      </c>
      <c r="C120" s="10" t="s">
        <v>22</v>
      </c>
      <c r="D120" s="25">
        <v>41773.0</v>
      </c>
      <c r="E120" s="10">
        <f t="shared" si="1"/>
        <v>11</v>
      </c>
      <c r="F120" s="26"/>
      <c r="G120" s="18"/>
      <c r="H120" s="10" t="s">
        <v>25</v>
      </c>
      <c r="I120" s="10" t="str">
        <f t="shared" si="12"/>
        <v>Inativo</v>
      </c>
      <c r="J120" s="10" t="s">
        <v>712</v>
      </c>
      <c r="K120" s="14" t="str">
        <f>IFERROR(__xludf.DUMMYFUNCTION("HYPERLINK(""http://wa.me/55""&amp;REGEXREPLACE(J120,""\D+"",""""),LEFT(L120,FIND("" "",L120) - 1)&amp;"".Wpp"")"),"Michelle.Wpp")</f>
        <v>Michelle.Wpp</v>
      </c>
      <c r="L120" s="8" t="s">
        <v>713</v>
      </c>
      <c r="M120" s="18" t="s">
        <v>256</v>
      </c>
      <c r="N120" s="16">
        <v>45818.0</v>
      </c>
      <c r="O120" s="16">
        <f t="shared" si="14"/>
        <v>45878</v>
      </c>
      <c r="P120" s="17">
        <v>46007.0</v>
      </c>
      <c r="Q120" s="18" t="s">
        <v>714</v>
      </c>
      <c r="R120" s="18"/>
      <c r="S120" s="8"/>
      <c r="T120" s="8" t="s">
        <v>22</v>
      </c>
    </row>
    <row r="121" hidden="1">
      <c r="A121" s="19" t="s">
        <v>715</v>
      </c>
      <c r="B121" s="28" t="s">
        <v>716</v>
      </c>
      <c r="C121" s="20" t="s">
        <v>22</v>
      </c>
      <c r="D121" s="29">
        <v>42077.0</v>
      </c>
      <c r="E121" s="20">
        <f t="shared" si="1"/>
        <v>10</v>
      </c>
      <c r="F121" s="30" t="s">
        <v>717</v>
      </c>
      <c r="G121" s="39" t="s">
        <v>718</v>
      </c>
      <c r="H121" s="20" t="s">
        <v>25</v>
      </c>
      <c r="I121" s="20" t="str">
        <f t="shared" si="12"/>
        <v>Inativo</v>
      </c>
      <c r="J121" s="20" t="s">
        <v>244</v>
      </c>
      <c r="K121" s="31" t="str">
        <f>IFERROR(__xludf.DUMMYFUNCTION("HYPERLINK(""http://wa.me/55""&amp;REGEXREPLACE(J121,""\D+"",""""),LEFT(L121,FIND("" "",L121) - 1)&amp;"".Wpp"")"),"Cristiane.Wpp")</f>
        <v>Cristiane.Wpp</v>
      </c>
      <c r="L121" s="42" t="s">
        <v>719</v>
      </c>
      <c r="M121" s="23" t="s">
        <v>256</v>
      </c>
      <c r="N121" s="32">
        <v>45797.0</v>
      </c>
      <c r="O121" s="32">
        <f t="shared" si="14"/>
        <v>45857</v>
      </c>
      <c r="P121" s="23"/>
      <c r="Q121" s="23" t="s">
        <v>246</v>
      </c>
      <c r="R121" s="34" t="s">
        <v>720</v>
      </c>
      <c r="S121" s="42"/>
      <c r="T121" s="42"/>
    </row>
    <row r="122">
      <c r="A122" s="8" t="s">
        <v>721</v>
      </c>
      <c r="B122" s="9" t="s">
        <v>721</v>
      </c>
      <c r="C122" s="10" t="s">
        <v>22</v>
      </c>
      <c r="D122" s="11">
        <v>40783.0</v>
      </c>
      <c r="E122" s="10">
        <f t="shared" si="1"/>
        <v>14</v>
      </c>
      <c r="F122" s="44"/>
      <c r="G122" s="12" t="s">
        <v>722</v>
      </c>
      <c r="H122" s="10" t="s">
        <v>31</v>
      </c>
      <c r="I122" s="10" t="str">
        <f t="shared" si="12"/>
        <v>Ativo</v>
      </c>
      <c r="J122" s="10" t="s">
        <v>723</v>
      </c>
      <c r="K122" s="14" t="str">
        <f>IFERROR(__xludf.DUMMYFUNCTION("HYPERLINK(""http://wa.me/55""&amp;REGEXREPLACE(J122,""\D+"",""""),LEFT(L122,FIND("" "",L122) - 1)&amp;"".Wpp"")"),"Dirceu.Wpp")</f>
        <v>Dirceu.Wpp</v>
      </c>
      <c r="L122" s="35" t="s">
        <v>724</v>
      </c>
      <c r="M122" s="10" t="s">
        <v>54</v>
      </c>
      <c r="N122" s="17">
        <v>46055.0</v>
      </c>
      <c r="O122" s="16"/>
      <c r="P122" s="18"/>
      <c r="Q122" s="69" t="s">
        <v>725</v>
      </c>
      <c r="R122" s="37" t="s">
        <v>726</v>
      </c>
      <c r="S122" s="10" t="s">
        <v>727</v>
      </c>
      <c r="T122" s="24"/>
    </row>
    <row r="123" hidden="1">
      <c r="A123" s="19" t="s">
        <v>728</v>
      </c>
      <c r="B123" s="28" t="s">
        <v>728</v>
      </c>
      <c r="C123" s="20" t="s">
        <v>38</v>
      </c>
      <c r="D123" s="29">
        <v>41436.0</v>
      </c>
      <c r="E123" s="20">
        <f t="shared" si="1"/>
        <v>12</v>
      </c>
      <c r="F123" s="30" t="s">
        <v>729</v>
      </c>
      <c r="G123" s="39" t="s">
        <v>730</v>
      </c>
      <c r="H123" s="23" t="s">
        <v>25</v>
      </c>
      <c r="I123" s="20" t="str">
        <f t="shared" si="12"/>
        <v>Inativo</v>
      </c>
      <c r="J123" s="20" t="s">
        <v>731</v>
      </c>
      <c r="K123" s="31" t="str">
        <f>IFERROR(__xludf.DUMMYFUNCTION("HYPERLINK(""http://wa.me/55""&amp;REGEXREPLACE(J123,""\D+"",""""),LEFT(L123,FIND("" "",L123) - 1)&amp;"".Wpp"")"),"Tânia.Wpp")</f>
        <v>Tânia.Wpp</v>
      </c>
      <c r="L123" s="19" t="s">
        <v>732</v>
      </c>
      <c r="M123" s="23" t="s">
        <v>733</v>
      </c>
      <c r="N123" s="32">
        <v>45734.0</v>
      </c>
      <c r="O123" s="32">
        <f t="shared" ref="O123:O124" si="15">N123+60</f>
        <v>45794</v>
      </c>
      <c r="P123" s="23"/>
      <c r="Q123" s="23" t="s">
        <v>734</v>
      </c>
      <c r="R123" s="34" t="s">
        <v>735</v>
      </c>
      <c r="S123" s="42"/>
      <c r="T123" s="42"/>
    </row>
    <row r="124" hidden="1">
      <c r="A124" s="24" t="s">
        <v>736</v>
      </c>
      <c r="B124" s="9" t="s">
        <v>736</v>
      </c>
      <c r="C124" s="10" t="s">
        <v>22</v>
      </c>
      <c r="D124" s="25">
        <v>43446.0</v>
      </c>
      <c r="E124" s="10">
        <f t="shared" si="1"/>
        <v>7</v>
      </c>
      <c r="F124" s="26"/>
      <c r="G124" s="18"/>
      <c r="H124" s="10" t="s">
        <v>25</v>
      </c>
      <c r="I124" s="10" t="str">
        <f t="shared" si="12"/>
        <v>Inativo</v>
      </c>
      <c r="J124" s="10" t="s">
        <v>737</v>
      </c>
      <c r="K124" s="14" t="str">
        <f>IFERROR(__xludf.DUMMYFUNCTION("HYPERLINK(""http://wa.me/55""&amp;REGEXREPLACE(J124,""\D+"",""""),LEFT(L124,FIND("" "",L124) - 1)&amp;"".Wpp"")"),"Juliana.Wpp")</f>
        <v>Juliana.Wpp</v>
      </c>
      <c r="L124" s="8" t="s">
        <v>738</v>
      </c>
      <c r="M124" s="18" t="s">
        <v>69</v>
      </c>
      <c r="N124" s="16">
        <v>45831.0</v>
      </c>
      <c r="O124" s="16">
        <f t="shared" si="15"/>
        <v>45891</v>
      </c>
      <c r="P124" s="17">
        <v>45966.0</v>
      </c>
      <c r="Q124" s="18" t="s">
        <v>739</v>
      </c>
      <c r="R124" s="27" t="s">
        <v>740</v>
      </c>
      <c r="S124" s="8"/>
      <c r="T124" s="8" t="s">
        <v>22</v>
      </c>
    </row>
    <row r="125">
      <c r="A125" s="19" t="s">
        <v>741</v>
      </c>
      <c r="B125" s="19"/>
      <c r="C125" s="20" t="s">
        <v>30</v>
      </c>
      <c r="D125" s="38">
        <v>24218.0</v>
      </c>
      <c r="E125" s="20">
        <f t="shared" si="1"/>
        <v>59</v>
      </c>
      <c r="F125" s="22"/>
      <c r="G125" s="20"/>
      <c r="H125" s="20" t="s">
        <v>31</v>
      </c>
      <c r="I125" s="20" t="s">
        <v>32</v>
      </c>
      <c r="J125" s="20" t="s">
        <v>742</v>
      </c>
      <c r="K125" s="19"/>
      <c r="L125" s="19" t="s">
        <v>741</v>
      </c>
      <c r="M125" s="20"/>
      <c r="N125" s="33">
        <v>46058.0</v>
      </c>
      <c r="O125" s="20"/>
      <c r="P125" s="23"/>
      <c r="Q125" s="20"/>
      <c r="R125" s="20">
        <v>9.9195739653E10</v>
      </c>
      <c r="S125" s="20"/>
      <c r="T125" s="20"/>
    </row>
    <row r="126">
      <c r="A126" s="8" t="s">
        <v>743</v>
      </c>
      <c r="B126" s="8"/>
      <c r="C126" s="10" t="s">
        <v>30</v>
      </c>
      <c r="D126" s="11">
        <v>35545.0</v>
      </c>
      <c r="E126" s="10">
        <f t="shared" si="1"/>
        <v>28</v>
      </c>
      <c r="F126" s="44"/>
      <c r="G126" s="10"/>
      <c r="H126" s="10" t="s">
        <v>31</v>
      </c>
      <c r="I126" s="10" t="s">
        <v>32</v>
      </c>
      <c r="J126" s="10" t="s">
        <v>744</v>
      </c>
      <c r="K126" s="8"/>
      <c r="L126" s="8" t="s">
        <v>743</v>
      </c>
      <c r="M126" s="10" t="s">
        <v>35</v>
      </c>
      <c r="N126" s="70">
        <v>46059.0</v>
      </c>
      <c r="O126" s="10"/>
      <c r="P126" s="18"/>
      <c r="Q126" s="10"/>
      <c r="R126" s="10" t="s">
        <v>745</v>
      </c>
      <c r="S126" s="10"/>
      <c r="T126" s="10"/>
    </row>
    <row r="127" hidden="1">
      <c r="A127" s="19" t="s">
        <v>746</v>
      </c>
      <c r="B127" s="28" t="s">
        <v>746</v>
      </c>
      <c r="C127" s="20" t="s">
        <v>22</v>
      </c>
      <c r="D127" s="38">
        <v>40167.0</v>
      </c>
      <c r="E127" s="20">
        <f t="shared" si="1"/>
        <v>16</v>
      </c>
      <c r="F127" s="30" t="s">
        <v>747</v>
      </c>
      <c r="G127" s="30" t="s">
        <v>748</v>
      </c>
      <c r="H127" s="20" t="s">
        <v>52</v>
      </c>
      <c r="I127" s="20" t="str">
        <f t="shared" ref="I127:I131" si="16">IF(OR(H127="Finalizado",H127="Desistência"),"Inativo","Ativo")</f>
        <v>Ativo</v>
      </c>
      <c r="J127" s="20" t="s">
        <v>749</v>
      </c>
      <c r="K127" s="31" t="str">
        <f>IFERROR(__xludf.DUMMYFUNCTION("HYPERLINK(""http://wa.me/55""&amp;REGEXREPLACE(J127,""\D+"",""""),LEFT(L127,FIND("" "",L127) - 1)&amp;"".Wpp"")"),"Silvia.Wpp")</f>
        <v>Silvia.Wpp</v>
      </c>
      <c r="L127" s="45" t="s">
        <v>750</v>
      </c>
      <c r="M127" s="20" t="s">
        <v>751</v>
      </c>
      <c r="N127" s="33">
        <v>45953.0</v>
      </c>
      <c r="O127" s="32">
        <f t="shared" ref="O127:O131" si="17">N127+60</f>
        <v>46013</v>
      </c>
      <c r="P127" s="33"/>
      <c r="Q127" s="46"/>
      <c r="R127" s="47" t="s">
        <v>752</v>
      </c>
      <c r="S127" s="20" t="s">
        <v>57</v>
      </c>
      <c r="T127" s="20"/>
    </row>
    <row r="128" hidden="1">
      <c r="A128" s="8" t="s">
        <v>753</v>
      </c>
      <c r="B128" s="9" t="s">
        <v>753</v>
      </c>
      <c r="C128" s="10" t="s">
        <v>38</v>
      </c>
      <c r="D128" s="25">
        <v>28708.0</v>
      </c>
      <c r="E128" s="10">
        <f t="shared" si="1"/>
        <v>47</v>
      </c>
      <c r="F128" s="12" t="s">
        <v>754</v>
      </c>
      <c r="G128" s="13" t="s">
        <v>755</v>
      </c>
      <c r="H128" s="18" t="s">
        <v>25</v>
      </c>
      <c r="I128" s="10" t="str">
        <f t="shared" si="16"/>
        <v>Inativo</v>
      </c>
      <c r="J128" s="10" t="s">
        <v>756</v>
      </c>
      <c r="K128" s="14" t="str">
        <f>IFERROR(__xludf.DUMMYFUNCTION("HYPERLINK(""http://wa.me/55""&amp;REGEXREPLACE(J128,""\D+"",""""),LEFT(L128,FIND("" "",L128) - 1)&amp;"".Wpp"")"),"Michellini.Wpp")</f>
        <v>Michellini.Wpp</v>
      </c>
      <c r="L128" s="24" t="s">
        <v>757</v>
      </c>
      <c r="M128" s="18" t="s">
        <v>69</v>
      </c>
      <c r="N128" s="16">
        <v>45783.0</v>
      </c>
      <c r="O128" s="16">
        <f t="shared" si="17"/>
        <v>45843</v>
      </c>
      <c r="P128" s="18"/>
      <c r="Q128" s="18" t="s">
        <v>758</v>
      </c>
      <c r="R128" s="27" t="s">
        <v>759</v>
      </c>
      <c r="S128" s="24"/>
      <c r="T128" s="24"/>
    </row>
    <row r="129" hidden="1">
      <c r="A129" s="19" t="s">
        <v>760</v>
      </c>
      <c r="B129" s="28" t="s">
        <v>760</v>
      </c>
      <c r="C129" s="20" t="s">
        <v>38</v>
      </c>
      <c r="D129" s="29">
        <v>41376.0</v>
      </c>
      <c r="E129" s="20">
        <f t="shared" si="1"/>
        <v>12</v>
      </c>
      <c r="F129" s="41"/>
      <c r="G129" s="23"/>
      <c r="H129" s="20" t="s">
        <v>25</v>
      </c>
      <c r="I129" s="20" t="str">
        <f t="shared" si="16"/>
        <v>Inativo</v>
      </c>
      <c r="J129" s="20" t="s">
        <v>761</v>
      </c>
      <c r="K129" s="31" t="str">
        <f>IFERROR(__xludf.DUMMYFUNCTION("HYPERLINK(""http://wa.me/55""&amp;REGEXREPLACE(J129,""\D+"",""""),LEFT(L129,FIND("" "",L129) - 1)&amp;"".Wpp"")"),"César.Wpp")</f>
        <v>César.Wpp</v>
      </c>
      <c r="L129" s="42" t="s">
        <v>762</v>
      </c>
      <c r="M129" s="23" t="s">
        <v>763</v>
      </c>
      <c r="N129" s="32">
        <v>45783.0</v>
      </c>
      <c r="O129" s="32">
        <f t="shared" si="17"/>
        <v>45843</v>
      </c>
      <c r="P129" s="23"/>
      <c r="Q129" s="23" t="s">
        <v>764</v>
      </c>
      <c r="R129" s="23" t="s">
        <v>765</v>
      </c>
      <c r="S129" s="42"/>
      <c r="T129" s="42"/>
    </row>
    <row r="130" hidden="1">
      <c r="A130" s="8" t="s">
        <v>766</v>
      </c>
      <c r="B130" s="9" t="s">
        <v>766</v>
      </c>
      <c r="C130" s="10" t="s">
        <v>38</v>
      </c>
      <c r="D130" s="25">
        <v>41837.0</v>
      </c>
      <c r="E130" s="10">
        <f t="shared" si="1"/>
        <v>11</v>
      </c>
      <c r="F130" s="12" t="s">
        <v>78</v>
      </c>
      <c r="G130" s="13" t="s">
        <v>767</v>
      </c>
      <c r="H130" s="10" t="s">
        <v>25</v>
      </c>
      <c r="I130" s="10" t="str">
        <f t="shared" si="16"/>
        <v>Inativo</v>
      </c>
      <c r="J130" s="10" t="s">
        <v>768</v>
      </c>
      <c r="K130" s="14" t="str">
        <f>IFERROR(__xludf.DUMMYFUNCTION("HYPERLINK(""http://wa.me/55""&amp;REGEXREPLACE(J130,""\D+"",""""),LEFT(L130,FIND("" "",L130) - 1)&amp;"".Wpp"")"),"Heidy.Wpp")</f>
        <v>Heidy.Wpp</v>
      </c>
      <c r="L130" s="24" t="s">
        <v>769</v>
      </c>
      <c r="M130" s="18" t="s">
        <v>69</v>
      </c>
      <c r="N130" s="16">
        <v>45800.0</v>
      </c>
      <c r="O130" s="16">
        <f t="shared" si="17"/>
        <v>45860</v>
      </c>
      <c r="P130" s="18"/>
      <c r="Q130" s="18" t="s">
        <v>770</v>
      </c>
      <c r="R130" s="18" t="s">
        <v>771</v>
      </c>
      <c r="S130" s="24"/>
      <c r="T130" s="24"/>
    </row>
    <row r="131" hidden="1">
      <c r="A131" s="55" t="s">
        <v>772</v>
      </c>
      <c r="B131" s="56" t="s">
        <v>772</v>
      </c>
      <c r="C131" s="54" t="s">
        <v>30</v>
      </c>
      <c r="D131" s="71">
        <v>43539.0</v>
      </c>
      <c r="E131" s="20">
        <f t="shared" si="1"/>
        <v>6</v>
      </c>
      <c r="F131" s="72"/>
      <c r="G131" s="51"/>
      <c r="H131" s="54" t="s">
        <v>52</v>
      </c>
      <c r="I131" s="54" t="str">
        <f t="shared" si="16"/>
        <v>Ativo</v>
      </c>
      <c r="J131" s="54" t="s">
        <v>773</v>
      </c>
      <c r="K131" s="66" t="str">
        <f>IFERROR(__xludf.DUMMYFUNCTION("HYPERLINK(""http://wa.me/55""&amp;REGEXREPLACE(J131,""\D+"",""""),LEFT(L131,FIND("" "",L131) - 1)&amp;"".Wpp"")"),"GLláucia.Wpp")</f>
        <v>GLláucia.Wpp</v>
      </c>
      <c r="L131" s="55" t="s">
        <v>774</v>
      </c>
      <c r="M131" s="51" t="s">
        <v>45</v>
      </c>
      <c r="N131" s="61">
        <v>45803.0</v>
      </c>
      <c r="O131" s="61">
        <f t="shared" si="17"/>
        <v>45863</v>
      </c>
      <c r="P131" s="62">
        <v>45994.0</v>
      </c>
      <c r="Q131" s="51" t="s">
        <v>775</v>
      </c>
      <c r="R131" s="51" t="s">
        <v>776</v>
      </c>
      <c r="S131" s="54"/>
      <c r="T131" s="54"/>
    </row>
    <row r="132">
      <c r="A132" s="8" t="s">
        <v>777</v>
      </c>
      <c r="B132" s="8"/>
      <c r="C132" s="10" t="s">
        <v>30</v>
      </c>
      <c r="D132" s="11">
        <v>35683.0</v>
      </c>
      <c r="E132" s="10">
        <f t="shared" si="1"/>
        <v>28</v>
      </c>
      <c r="F132" s="44"/>
      <c r="G132" s="10"/>
      <c r="H132" s="10" t="s">
        <v>31</v>
      </c>
      <c r="I132" s="10" t="s">
        <v>32</v>
      </c>
      <c r="J132" s="10" t="s">
        <v>778</v>
      </c>
      <c r="K132" s="8"/>
      <c r="L132" s="8" t="s">
        <v>777</v>
      </c>
      <c r="M132" s="51" t="s">
        <v>69</v>
      </c>
      <c r="N132" s="17">
        <v>46059.0</v>
      </c>
      <c r="O132" s="10"/>
      <c r="P132" s="18"/>
      <c r="Q132" s="10"/>
      <c r="R132" s="10" t="s">
        <v>779</v>
      </c>
      <c r="S132" s="10"/>
      <c r="T132" s="10"/>
    </row>
    <row r="133" hidden="1">
      <c r="A133" s="19" t="s">
        <v>780</v>
      </c>
      <c r="B133" s="28" t="s">
        <v>780</v>
      </c>
      <c r="C133" s="20" t="s">
        <v>38</v>
      </c>
      <c r="D133" s="29">
        <v>41031.0</v>
      </c>
      <c r="E133" s="20">
        <f t="shared" si="1"/>
        <v>13</v>
      </c>
      <c r="F133" s="30" t="s">
        <v>781</v>
      </c>
      <c r="G133" s="39" t="s">
        <v>782</v>
      </c>
      <c r="H133" s="23" t="s">
        <v>25</v>
      </c>
      <c r="I133" s="20" t="str">
        <f t="shared" ref="I133:I152" si="18">IF(OR(H133="Finalizado",H133="Desistência"),"Inativo","Ativo")</f>
        <v>Inativo</v>
      </c>
      <c r="J133" s="20" t="s">
        <v>783</v>
      </c>
      <c r="K133" s="31" t="str">
        <f>IFERROR(__xludf.DUMMYFUNCTION("HYPERLINK(""http://wa.me/55""&amp;REGEXREPLACE(J133,""\D+"",""""),LEFT(L133,FIND("" "",L133) - 1)&amp;"".Wpp"")"),"Rafael.Wpp")</f>
        <v>Rafael.Wpp</v>
      </c>
      <c r="L133" s="19" t="s">
        <v>784</v>
      </c>
      <c r="M133" s="23" t="s">
        <v>256</v>
      </c>
      <c r="N133" s="32">
        <v>45749.0</v>
      </c>
      <c r="O133" s="32">
        <f>N133+60</f>
        <v>45809</v>
      </c>
      <c r="P133" s="23"/>
      <c r="Q133" s="23" t="s">
        <v>785</v>
      </c>
      <c r="R133" s="34" t="s">
        <v>786</v>
      </c>
      <c r="S133" s="42"/>
      <c r="T133" s="42"/>
    </row>
    <row r="134">
      <c r="A134" s="8" t="s">
        <v>787</v>
      </c>
      <c r="B134" s="9" t="s">
        <v>788</v>
      </c>
      <c r="C134" s="10" t="s">
        <v>22</v>
      </c>
      <c r="D134" s="11">
        <v>29394.0</v>
      </c>
      <c r="E134" s="10">
        <f t="shared" si="1"/>
        <v>45</v>
      </c>
      <c r="F134" s="12" t="s">
        <v>789</v>
      </c>
      <c r="G134" s="12" t="s">
        <v>790</v>
      </c>
      <c r="H134" s="10" t="s">
        <v>31</v>
      </c>
      <c r="I134" s="10" t="str">
        <f t="shared" si="18"/>
        <v>Ativo</v>
      </c>
      <c r="J134" s="10" t="s">
        <v>791</v>
      </c>
      <c r="K134" s="14" t="str">
        <f>IFERROR(__xludf.DUMMYFUNCTION("HYPERLINK(""http://wa.me/55""&amp;REGEXREPLACE(J134,""\D+"",""""),LEFT(L134,FIND("" "",L134) - 1)&amp;"".Wpp"")"),"Gabriela.Wpp")</f>
        <v>Gabriela.Wpp</v>
      </c>
      <c r="L134" s="35" t="s">
        <v>787</v>
      </c>
      <c r="M134" s="10" t="s">
        <v>139</v>
      </c>
      <c r="N134" s="17">
        <v>46063.0</v>
      </c>
      <c r="O134" s="10"/>
      <c r="P134" s="18"/>
      <c r="Q134" s="43" t="s">
        <v>792</v>
      </c>
      <c r="R134" s="37" t="s">
        <v>793</v>
      </c>
      <c r="S134" s="10" t="s">
        <v>794</v>
      </c>
      <c r="T134" s="10"/>
    </row>
    <row r="135" hidden="1">
      <c r="A135" s="19" t="s">
        <v>795</v>
      </c>
      <c r="B135" s="19"/>
      <c r="C135" s="20" t="s">
        <v>30</v>
      </c>
      <c r="D135" s="38">
        <v>23145.0</v>
      </c>
      <c r="E135" s="20">
        <f t="shared" si="1"/>
        <v>62</v>
      </c>
      <c r="F135" s="22"/>
      <c r="G135" s="23"/>
      <c r="H135" s="20" t="s">
        <v>568</v>
      </c>
      <c r="I135" s="20" t="str">
        <f t="shared" si="18"/>
        <v>Inativo</v>
      </c>
      <c r="J135" s="20" t="s">
        <v>796</v>
      </c>
      <c r="K135" s="31" t="str">
        <f>IFERROR(__xludf.DUMMYFUNCTION("HYPERLINK(""http://wa.me/55""&amp;REGEXREPLACE(J135,""\D+"",""""),LEFT(L135,FIND("" "",L135) - 1)&amp;"".Wpp"")"),"Mirian.Wpp")</f>
        <v>Mirian.Wpp</v>
      </c>
      <c r="L135" s="19" t="s">
        <v>795</v>
      </c>
      <c r="M135" s="23"/>
      <c r="N135" s="33">
        <v>45994.0</v>
      </c>
      <c r="O135" s="32">
        <f t="shared" ref="O135:O138" si="19">N135+60</f>
        <v>46054</v>
      </c>
      <c r="P135" s="33"/>
      <c r="Q135" s="20"/>
      <c r="R135" s="20"/>
      <c r="S135" s="19"/>
      <c r="T135" s="19"/>
    </row>
    <row r="136" hidden="1">
      <c r="A136" s="8" t="s">
        <v>797</v>
      </c>
      <c r="B136" s="9" t="s">
        <v>797</v>
      </c>
      <c r="C136" s="10" t="s">
        <v>22</v>
      </c>
      <c r="D136" s="25">
        <v>32506.0</v>
      </c>
      <c r="E136" s="10">
        <f t="shared" si="1"/>
        <v>37</v>
      </c>
      <c r="F136" s="26"/>
      <c r="G136" s="18"/>
      <c r="H136" s="10" t="s">
        <v>25</v>
      </c>
      <c r="I136" s="10" t="str">
        <f t="shared" si="18"/>
        <v>Inativo</v>
      </c>
      <c r="J136" s="10" t="s">
        <v>798</v>
      </c>
      <c r="K136" s="14" t="str">
        <f>IFERROR(__xludf.DUMMYFUNCTION("HYPERLINK(""http://wa.me/55""&amp;REGEXREPLACE(J136,""\D+"",""""),LEFT(L136,FIND("" "",L136) - 1)&amp;"".Wpp"")"),"Nathalia.Wpp")</f>
        <v>Nathalia.Wpp</v>
      </c>
      <c r="L136" s="24" t="s">
        <v>799</v>
      </c>
      <c r="M136" s="18" t="s">
        <v>94</v>
      </c>
      <c r="N136" s="16">
        <v>45867.0</v>
      </c>
      <c r="O136" s="16">
        <f t="shared" si="19"/>
        <v>45927</v>
      </c>
      <c r="P136" s="18"/>
      <c r="Q136" s="18" t="s">
        <v>800</v>
      </c>
      <c r="R136" s="27" t="s">
        <v>801</v>
      </c>
      <c r="S136" s="24"/>
      <c r="T136" s="24"/>
    </row>
    <row r="137" hidden="1">
      <c r="A137" s="19" t="s">
        <v>802</v>
      </c>
      <c r="B137" s="28" t="s">
        <v>803</v>
      </c>
      <c r="C137" s="20" t="s">
        <v>22</v>
      </c>
      <c r="D137" s="38">
        <v>33525.0</v>
      </c>
      <c r="E137" s="20">
        <f t="shared" si="1"/>
        <v>34</v>
      </c>
      <c r="F137" s="30" t="s">
        <v>804</v>
      </c>
      <c r="G137" s="20"/>
      <c r="H137" s="20" t="s">
        <v>25</v>
      </c>
      <c r="I137" s="20" t="str">
        <f t="shared" si="18"/>
        <v>Inativo</v>
      </c>
      <c r="J137" s="20" t="s">
        <v>805</v>
      </c>
      <c r="K137" s="31" t="str">
        <f>IFERROR(__xludf.DUMMYFUNCTION("HYPERLINK(""http://wa.me/55""&amp;REGEXREPLACE(J137,""\D+"",""""),LEFT(L137,FIND("" "",L137) - 1)&amp;"".Wpp"")"),"Nathan.Wpp")</f>
        <v>Nathan.Wpp</v>
      </c>
      <c r="L137" s="19" t="s">
        <v>802</v>
      </c>
      <c r="M137" s="20" t="s">
        <v>54</v>
      </c>
      <c r="N137" s="33">
        <v>45967.0</v>
      </c>
      <c r="O137" s="32">
        <f t="shared" si="19"/>
        <v>46027</v>
      </c>
      <c r="P137" s="23"/>
      <c r="Q137" s="20" t="s">
        <v>806</v>
      </c>
      <c r="R137" s="20">
        <v>9.848382607E9</v>
      </c>
      <c r="S137" s="20"/>
      <c r="T137" s="20"/>
    </row>
    <row r="138" hidden="1">
      <c r="A138" s="8" t="s">
        <v>807</v>
      </c>
      <c r="B138" s="9" t="s">
        <v>807</v>
      </c>
      <c r="C138" s="10" t="s">
        <v>22</v>
      </c>
      <c r="D138" s="25">
        <v>44447.0</v>
      </c>
      <c r="E138" s="10">
        <f t="shared" si="1"/>
        <v>4</v>
      </c>
      <c r="F138" s="26"/>
      <c r="G138" s="18"/>
      <c r="H138" s="10" t="s">
        <v>25</v>
      </c>
      <c r="I138" s="10" t="str">
        <f t="shared" si="18"/>
        <v>Inativo</v>
      </c>
      <c r="J138" s="10" t="s">
        <v>808</v>
      </c>
      <c r="K138" s="14" t="str">
        <f>IFERROR(__xludf.DUMMYFUNCTION("HYPERLINK(""http://wa.me/55""&amp;REGEXREPLACE(J138,""\D+"",""""),LEFT(L138,FIND("" "",L138) - 1)&amp;"".Wpp"")"),"Lucinea.Wpp")</f>
        <v>Lucinea.Wpp</v>
      </c>
      <c r="L138" s="24" t="s">
        <v>809</v>
      </c>
      <c r="M138" s="18" t="s">
        <v>22</v>
      </c>
      <c r="N138" s="16">
        <v>45789.0</v>
      </c>
      <c r="O138" s="16">
        <f t="shared" si="19"/>
        <v>45849</v>
      </c>
      <c r="P138" s="18"/>
      <c r="Q138" s="18" t="s">
        <v>810</v>
      </c>
      <c r="R138" s="18" t="s">
        <v>811</v>
      </c>
      <c r="S138" s="24"/>
      <c r="T138" s="24"/>
    </row>
    <row r="139">
      <c r="A139" s="19" t="s">
        <v>812</v>
      </c>
      <c r="B139" s="28" t="s">
        <v>812</v>
      </c>
      <c r="C139" s="20" t="s">
        <v>22</v>
      </c>
      <c r="D139" s="38">
        <v>27177.0</v>
      </c>
      <c r="E139" s="20">
        <f t="shared" si="1"/>
        <v>51</v>
      </c>
      <c r="F139" s="30" t="s">
        <v>813</v>
      </c>
      <c r="G139" s="30" t="s">
        <v>814</v>
      </c>
      <c r="H139" s="20" t="s">
        <v>31</v>
      </c>
      <c r="I139" s="20" t="str">
        <f t="shared" si="18"/>
        <v>Ativo</v>
      </c>
      <c r="J139" s="20" t="s">
        <v>815</v>
      </c>
      <c r="K139" s="31" t="str">
        <f>IFERROR(__xludf.DUMMYFUNCTION("HYPERLINK(""http://wa.me/55""&amp;REGEXREPLACE(J139,""\D+"",""""),LEFT(L139,FIND("" "",L139) - 1)&amp;"".Wpp"")"),"Alexandre.Wpp")</f>
        <v>Alexandre.Wpp</v>
      </c>
      <c r="L139" s="45" t="s">
        <v>812</v>
      </c>
      <c r="M139" s="20" t="s">
        <v>751</v>
      </c>
      <c r="N139" s="73">
        <v>46065.0</v>
      </c>
      <c r="O139" s="32"/>
      <c r="P139" s="33"/>
      <c r="Q139" s="46" t="s">
        <v>816</v>
      </c>
      <c r="R139" s="74"/>
      <c r="S139" s="20" t="s">
        <v>817</v>
      </c>
      <c r="T139" s="20"/>
    </row>
    <row r="140">
      <c r="A140" s="8" t="s">
        <v>818</v>
      </c>
      <c r="B140" s="9" t="s">
        <v>818</v>
      </c>
      <c r="C140" s="10" t="s">
        <v>22</v>
      </c>
      <c r="D140" s="11">
        <v>41117.0</v>
      </c>
      <c r="E140" s="10">
        <f t="shared" si="1"/>
        <v>13</v>
      </c>
      <c r="F140" s="12" t="s">
        <v>819</v>
      </c>
      <c r="G140" s="12" t="s">
        <v>820</v>
      </c>
      <c r="H140" s="10" t="s">
        <v>31</v>
      </c>
      <c r="I140" s="10" t="str">
        <f t="shared" si="18"/>
        <v>Ativo</v>
      </c>
      <c r="J140" s="10" t="s">
        <v>821</v>
      </c>
      <c r="K140" s="14" t="str">
        <f>IFERROR(__xludf.DUMMYFUNCTION("HYPERLINK(""http://wa.me/55""&amp;REGEXREPLACE(J140,""\D+"",""""),LEFT(L140,FIND("" "",L140) - 1)&amp;"".Wpp"")"),"Talita.Wpp")</f>
        <v>Talita.Wpp</v>
      </c>
      <c r="L140" s="35" t="s">
        <v>822</v>
      </c>
      <c r="M140" s="10" t="s">
        <v>54</v>
      </c>
      <c r="N140" s="17">
        <v>46072.0</v>
      </c>
      <c r="O140" s="16"/>
      <c r="P140" s="18"/>
      <c r="Q140" s="43" t="s">
        <v>823</v>
      </c>
      <c r="R140" s="37" t="s">
        <v>824</v>
      </c>
      <c r="S140" s="10" t="s">
        <v>825</v>
      </c>
      <c r="T140" s="10"/>
    </row>
    <row r="141" hidden="1">
      <c r="A141" s="19" t="s">
        <v>826</v>
      </c>
      <c r="B141" s="28" t="s">
        <v>826</v>
      </c>
      <c r="C141" s="20" t="s">
        <v>30</v>
      </c>
      <c r="D141" s="29">
        <v>42277.0</v>
      </c>
      <c r="E141" s="20">
        <f t="shared" si="1"/>
        <v>10</v>
      </c>
      <c r="F141" s="30" t="s">
        <v>827</v>
      </c>
      <c r="G141" s="23"/>
      <c r="H141" s="20" t="s">
        <v>25</v>
      </c>
      <c r="I141" s="20" t="str">
        <f t="shared" si="18"/>
        <v>Inativo</v>
      </c>
      <c r="J141" s="20" t="s">
        <v>828</v>
      </c>
      <c r="K141" s="31" t="str">
        <f>IFERROR(__xludf.DUMMYFUNCTION("HYPERLINK(""http://wa.me/55""&amp;REGEXREPLACE(J141,""\D+"",""""),LEFT(L141,FIND("" "",L141) - 1)&amp;"".Wpp"")"),"Cristiane.Wpp")</f>
        <v>Cristiane.Wpp</v>
      </c>
      <c r="L141" s="42" t="s">
        <v>829</v>
      </c>
      <c r="M141" s="23" t="s">
        <v>38</v>
      </c>
      <c r="N141" s="32">
        <v>45841.0</v>
      </c>
      <c r="O141" s="32">
        <f t="shared" ref="O141:O146" si="20">N141+60</f>
        <v>45901</v>
      </c>
      <c r="P141" s="33">
        <v>46013.0</v>
      </c>
      <c r="Q141" s="23" t="s">
        <v>830</v>
      </c>
      <c r="R141" s="34" t="s">
        <v>831</v>
      </c>
      <c r="S141" s="19"/>
      <c r="T141" s="19" t="s">
        <v>30</v>
      </c>
    </row>
    <row r="142" hidden="1">
      <c r="A142" s="8" t="s">
        <v>832</v>
      </c>
      <c r="B142" s="9" t="s">
        <v>832</v>
      </c>
      <c r="C142" s="10" t="s">
        <v>22</v>
      </c>
      <c r="D142" s="11">
        <v>40452.0</v>
      </c>
      <c r="E142" s="10">
        <f t="shared" si="1"/>
        <v>15</v>
      </c>
      <c r="F142" s="12" t="s">
        <v>833</v>
      </c>
      <c r="G142" s="12" t="s">
        <v>834</v>
      </c>
      <c r="H142" s="10" t="s">
        <v>52</v>
      </c>
      <c r="I142" s="10" t="str">
        <f t="shared" si="18"/>
        <v>Ativo</v>
      </c>
      <c r="J142" s="10" t="s">
        <v>835</v>
      </c>
      <c r="K142" s="14" t="str">
        <f>IFERROR(__xludf.DUMMYFUNCTION("HYPERLINK(""http://wa.me/55""&amp;REGEXREPLACE(J142,""\D+"",""""),LEFT(L142,FIND("" "",L142) - 1)&amp;"".Wpp"")"),"Eliene.Wpp")</f>
        <v>Eliene.Wpp</v>
      </c>
      <c r="L142" s="35" t="s">
        <v>836</v>
      </c>
      <c r="M142" s="10" t="s">
        <v>751</v>
      </c>
      <c r="N142" s="17">
        <v>45930.0</v>
      </c>
      <c r="O142" s="16">
        <f t="shared" si="20"/>
        <v>45990</v>
      </c>
      <c r="P142" s="18"/>
      <c r="Q142" s="43" t="s">
        <v>837</v>
      </c>
      <c r="R142" s="37" t="s">
        <v>838</v>
      </c>
      <c r="S142" s="10" t="s">
        <v>57</v>
      </c>
      <c r="T142" s="10"/>
    </row>
    <row r="143" hidden="1">
      <c r="A143" s="42" t="s">
        <v>839</v>
      </c>
      <c r="B143" s="28" t="s">
        <v>839</v>
      </c>
      <c r="C143" s="20" t="s">
        <v>22</v>
      </c>
      <c r="D143" s="29">
        <v>31995.0</v>
      </c>
      <c r="E143" s="20">
        <f t="shared" si="1"/>
        <v>38</v>
      </c>
      <c r="F143" s="41"/>
      <c r="G143" s="23"/>
      <c r="H143" s="20" t="s">
        <v>25</v>
      </c>
      <c r="I143" s="20" t="str">
        <f t="shared" si="18"/>
        <v>Inativo</v>
      </c>
      <c r="J143" s="20" t="s">
        <v>840</v>
      </c>
      <c r="K143" s="31" t="str">
        <f>IFERROR(__xludf.DUMMYFUNCTION("HYPERLINK(""http://wa.me/55""&amp;REGEXREPLACE(J143,""\D+"",""""),LEFT(L143,FIND("" "",L143) - 1)&amp;"".Wpp"")"),"Poliana.Wpp")</f>
        <v>Poliana.Wpp</v>
      </c>
      <c r="L143" s="19" t="s">
        <v>839</v>
      </c>
      <c r="M143" s="23" t="s">
        <v>38</v>
      </c>
      <c r="N143" s="32">
        <v>45789.0</v>
      </c>
      <c r="O143" s="32">
        <f t="shared" si="20"/>
        <v>45849</v>
      </c>
      <c r="P143" s="23"/>
      <c r="Q143" s="23" t="s">
        <v>509</v>
      </c>
      <c r="R143" s="23"/>
      <c r="S143" s="42"/>
      <c r="T143" s="42"/>
    </row>
    <row r="144" hidden="1">
      <c r="A144" s="8" t="s">
        <v>841</v>
      </c>
      <c r="B144" s="9" t="s">
        <v>841</v>
      </c>
      <c r="C144" s="10" t="s">
        <v>22</v>
      </c>
      <c r="D144" s="25">
        <v>31635.0</v>
      </c>
      <c r="E144" s="10">
        <f t="shared" si="1"/>
        <v>39</v>
      </c>
      <c r="F144" s="26"/>
      <c r="G144" s="18"/>
      <c r="H144" s="10" t="s">
        <v>25</v>
      </c>
      <c r="I144" s="10" t="str">
        <f t="shared" si="18"/>
        <v>Inativo</v>
      </c>
      <c r="J144" s="10" t="s">
        <v>842</v>
      </c>
      <c r="K144" s="14" t="str">
        <f>IFERROR(__xludf.DUMMYFUNCTION("HYPERLINK(""http://wa.me/55""&amp;REGEXREPLACE(J144,""\D+"",""""),LEFT(L144,FIND("" "",L144) - 1)&amp;"".Wpp"")"),"Polliany.Wpp")</f>
        <v>Polliany.Wpp</v>
      </c>
      <c r="L144" s="24" t="s">
        <v>843</v>
      </c>
      <c r="M144" s="18" t="s">
        <v>38</v>
      </c>
      <c r="N144" s="16">
        <v>45832.0</v>
      </c>
      <c r="O144" s="16">
        <f t="shared" si="20"/>
        <v>45892</v>
      </c>
      <c r="P144" s="18"/>
      <c r="Q144" s="18" t="s">
        <v>844</v>
      </c>
      <c r="R144" s="27" t="s">
        <v>845</v>
      </c>
      <c r="S144" s="24"/>
      <c r="T144" s="24"/>
    </row>
    <row r="145" hidden="1">
      <c r="A145" s="19" t="s">
        <v>846</v>
      </c>
      <c r="B145" s="28" t="s">
        <v>846</v>
      </c>
      <c r="C145" s="20" t="s">
        <v>38</v>
      </c>
      <c r="D145" s="29">
        <v>42963.0</v>
      </c>
      <c r="E145" s="20">
        <f t="shared" si="1"/>
        <v>8</v>
      </c>
      <c r="F145" s="30" t="s">
        <v>847</v>
      </c>
      <c r="G145" s="39" t="s">
        <v>848</v>
      </c>
      <c r="H145" s="23" t="s">
        <v>25</v>
      </c>
      <c r="I145" s="20" t="str">
        <f t="shared" si="18"/>
        <v>Inativo</v>
      </c>
      <c r="J145" s="20" t="s">
        <v>849</v>
      </c>
      <c r="K145" s="31" t="str">
        <f>IFERROR(__xludf.DUMMYFUNCTION("HYPERLINK(""http://wa.me/55""&amp;REGEXREPLACE(J145,""\D+"",""""),LEFT(L145,FIND("" "",L145) - 1)&amp;"".Wpp"")"),"Luciana.Wpp")</f>
        <v>Luciana.Wpp</v>
      </c>
      <c r="L145" s="19" t="s">
        <v>850</v>
      </c>
      <c r="M145" s="23" t="s">
        <v>101</v>
      </c>
      <c r="N145" s="32">
        <v>45740.0</v>
      </c>
      <c r="O145" s="32">
        <f t="shared" si="20"/>
        <v>45800</v>
      </c>
      <c r="P145" s="23"/>
      <c r="Q145" s="23" t="s">
        <v>851</v>
      </c>
      <c r="R145" s="34" t="s">
        <v>852</v>
      </c>
      <c r="S145" s="42"/>
      <c r="T145" s="42"/>
    </row>
    <row r="146" hidden="1">
      <c r="A146" s="55" t="s">
        <v>853</v>
      </c>
      <c r="B146" s="56" t="s">
        <v>853</v>
      </c>
      <c r="C146" s="54" t="s">
        <v>22</v>
      </c>
      <c r="D146" s="57">
        <v>43145.0</v>
      </c>
      <c r="E146" s="10">
        <f t="shared" si="1"/>
        <v>8</v>
      </c>
      <c r="F146" s="75" t="s">
        <v>854</v>
      </c>
      <c r="G146" s="58" t="s">
        <v>855</v>
      </c>
      <c r="H146" s="54" t="s">
        <v>25</v>
      </c>
      <c r="I146" s="54" t="str">
        <f t="shared" si="18"/>
        <v>Inativo</v>
      </c>
      <c r="J146" s="54" t="s">
        <v>856</v>
      </c>
      <c r="K146" s="66" t="str">
        <f>IFERROR(__xludf.DUMMYFUNCTION("HYPERLINK(""http://wa.me/55""&amp;REGEXREPLACE(J146,""\D+"",""""),LEFT(L146,FIND("" "",L146) - 1)&amp;"".Wpp"")"),"Priscila.Wpp")</f>
        <v>Priscila.Wpp</v>
      </c>
      <c r="L146" s="67" t="s">
        <v>857</v>
      </c>
      <c r="M146" s="54" t="s">
        <v>54</v>
      </c>
      <c r="N146" s="61">
        <v>45834.0</v>
      </c>
      <c r="O146" s="61">
        <f t="shared" si="20"/>
        <v>45894</v>
      </c>
      <c r="P146" s="62">
        <v>46009.0</v>
      </c>
      <c r="Q146" s="51" t="s">
        <v>858</v>
      </c>
      <c r="R146" s="54">
        <v>2.839163624E9</v>
      </c>
      <c r="S146" s="51"/>
      <c r="T146" s="51"/>
    </row>
    <row r="147">
      <c r="A147" s="19" t="s">
        <v>859</v>
      </c>
      <c r="B147" s="28" t="s">
        <v>859</v>
      </c>
      <c r="C147" s="20" t="s">
        <v>22</v>
      </c>
      <c r="D147" s="38">
        <v>44372.0</v>
      </c>
      <c r="E147" s="20">
        <f t="shared" si="1"/>
        <v>4</v>
      </c>
      <c r="F147" s="30" t="s">
        <v>860</v>
      </c>
      <c r="G147" s="30" t="s">
        <v>861</v>
      </c>
      <c r="H147" s="20" t="s">
        <v>31</v>
      </c>
      <c r="I147" s="20" t="str">
        <f t="shared" si="18"/>
        <v>Ativo</v>
      </c>
      <c r="J147" s="20" t="s">
        <v>862</v>
      </c>
      <c r="K147" s="31" t="str">
        <f>IFERROR(__xludf.DUMMYFUNCTION("HYPERLINK(""http://wa.me/55""&amp;REGEXREPLACE(J147,""\D+"",""""),LEFT(L147,FIND("" "",L147) - 1)&amp;"".Wpp"")"),"Helen.Wpp")</f>
        <v>Helen.Wpp</v>
      </c>
      <c r="L147" s="45" t="s">
        <v>863</v>
      </c>
      <c r="M147" s="20" t="s">
        <v>54</v>
      </c>
      <c r="N147" s="33">
        <v>46072.0</v>
      </c>
      <c r="O147" s="32"/>
      <c r="P147" s="33"/>
      <c r="Q147" s="46" t="s">
        <v>864</v>
      </c>
      <c r="R147" s="47" t="s">
        <v>865</v>
      </c>
      <c r="S147" s="20" t="s">
        <v>866</v>
      </c>
      <c r="T147" s="20"/>
    </row>
    <row r="148" hidden="1">
      <c r="A148" s="24" t="s">
        <v>867</v>
      </c>
      <c r="B148" s="9" t="s">
        <v>867</v>
      </c>
      <c r="C148" s="10" t="s">
        <v>38</v>
      </c>
      <c r="D148" s="25">
        <v>29996.0</v>
      </c>
      <c r="E148" s="10">
        <f t="shared" si="1"/>
        <v>44</v>
      </c>
      <c r="F148" s="12" t="s">
        <v>868</v>
      </c>
      <c r="G148" s="13" t="s">
        <v>869</v>
      </c>
      <c r="H148" s="18" t="s">
        <v>25</v>
      </c>
      <c r="I148" s="10" t="str">
        <f t="shared" si="18"/>
        <v>Inativo</v>
      </c>
      <c r="J148" s="18" t="s">
        <v>870</v>
      </c>
      <c r="K148" s="14" t="str">
        <f>IFERROR(__xludf.DUMMYFUNCTION("HYPERLINK(""http://wa.me/55""&amp;REGEXREPLACE(J148,""\D+"",""""),LEFT(L148,FIND("" "",L148) - 1)&amp;"".Wpp"")"),"Rafael.Wpp")</f>
        <v>Rafael.Wpp</v>
      </c>
      <c r="L148" s="24" t="s">
        <v>871</v>
      </c>
      <c r="M148" s="18" t="s">
        <v>87</v>
      </c>
      <c r="N148" s="16">
        <v>45793.0</v>
      </c>
      <c r="O148" s="16">
        <f t="shared" ref="O148:O151" si="21">N148+60</f>
        <v>45853</v>
      </c>
      <c r="P148" s="18"/>
      <c r="Q148" s="18" t="s">
        <v>872</v>
      </c>
      <c r="R148" s="18" t="s">
        <v>873</v>
      </c>
      <c r="S148" s="24"/>
      <c r="T148" s="24"/>
    </row>
    <row r="149" hidden="1">
      <c r="A149" s="19" t="s">
        <v>874</v>
      </c>
      <c r="B149" s="28" t="s">
        <v>874</v>
      </c>
      <c r="C149" s="20" t="s">
        <v>30</v>
      </c>
      <c r="D149" s="29">
        <v>39943.0</v>
      </c>
      <c r="E149" s="20">
        <f t="shared" si="1"/>
        <v>16</v>
      </c>
      <c r="F149" s="41"/>
      <c r="G149" s="23"/>
      <c r="H149" s="20" t="s">
        <v>25</v>
      </c>
      <c r="I149" s="20" t="str">
        <f t="shared" si="18"/>
        <v>Inativo</v>
      </c>
      <c r="J149" s="20" t="s">
        <v>875</v>
      </c>
      <c r="K149" s="31" t="str">
        <f>IFERROR(__xludf.DUMMYFUNCTION("HYPERLINK(""http://wa.me/55""&amp;REGEXREPLACE(J149,""\D+"",""""),LEFT(L149,FIND("" "",L149) - 1)&amp;"".Wpp"")"),"Angelina.Wpp")</f>
        <v>Angelina.Wpp</v>
      </c>
      <c r="L149" s="42" t="s">
        <v>876</v>
      </c>
      <c r="M149" s="23" t="s">
        <v>94</v>
      </c>
      <c r="N149" s="32">
        <v>45860.0</v>
      </c>
      <c r="O149" s="32">
        <f t="shared" si="21"/>
        <v>45920</v>
      </c>
      <c r="P149" s="33">
        <v>46021.0</v>
      </c>
      <c r="Q149" s="23" t="s">
        <v>877</v>
      </c>
      <c r="R149" s="34" t="s">
        <v>878</v>
      </c>
      <c r="S149" s="42"/>
      <c r="T149" s="42"/>
    </row>
    <row r="150" hidden="1">
      <c r="A150" s="8" t="s">
        <v>879</v>
      </c>
      <c r="B150" s="9" t="s">
        <v>879</v>
      </c>
      <c r="C150" s="10" t="s">
        <v>38</v>
      </c>
      <c r="D150" s="25">
        <v>35558.0</v>
      </c>
      <c r="E150" s="10">
        <f t="shared" si="1"/>
        <v>28</v>
      </c>
      <c r="F150" s="12" t="s">
        <v>880</v>
      </c>
      <c r="G150" s="13" t="s">
        <v>881</v>
      </c>
      <c r="H150" s="18" t="s">
        <v>25</v>
      </c>
      <c r="I150" s="10" t="str">
        <f t="shared" si="18"/>
        <v>Inativo</v>
      </c>
      <c r="J150" s="10" t="s">
        <v>882</v>
      </c>
      <c r="K150" s="14" t="str">
        <f>IFERROR(__xludf.DUMMYFUNCTION("HYPERLINK(""http://wa.me/55""&amp;REGEXREPLACE(J150,""\D+"",""""),LEFT(L150,FIND("" "",L150) - 1)&amp;"".Wpp"")"),"Raí.Wpp")</f>
        <v>Raí.Wpp</v>
      </c>
      <c r="L150" s="8" t="s">
        <v>879</v>
      </c>
      <c r="M150" s="18" t="s">
        <v>883</v>
      </c>
      <c r="N150" s="16">
        <v>45734.0</v>
      </c>
      <c r="O150" s="16">
        <f t="shared" si="21"/>
        <v>45794</v>
      </c>
      <c r="P150" s="18"/>
      <c r="Q150" s="18" t="s">
        <v>884</v>
      </c>
      <c r="R150" s="18">
        <v>1.2279152762E10</v>
      </c>
      <c r="S150" s="24"/>
      <c r="T150" s="24"/>
    </row>
    <row r="151" hidden="1">
      <c r="A151" s="19" t="s">
        <v>885</v>
      </c>
      <c r="B151" s="28" t="s">
        <v>886</v>
      </c>
      <c r="C151" s="20" t="s">
        <v>22</v>
      </c>
      <c r="D151" s="38">
        <v>42760.0</v>
      </c>
      <c r="E151" s="20">
        <f t="shared" si="1"/>
        <v>9</v>
      </c>
      <c r="F151" s="30" t="s">
        <v>887</v>
      </c>
      <c r="G151" s="30" t="s">
        <v>888</v>
      </c>
      <c r="H151" s="20" t="s">
        <v>25</v>
      </c>
      <c r="I151" s="20" t="str">
        <f t="shared" si="18"/>
        <v>Inativo</v>
      </c>
      <c r="J151" s="20" t="s">
        <v>889</v>
      </c>
      <c r="K151" s="31" t="str">
        <f>IFERROR(__xludf.DUMMYFUNCTION("HYPERLINK(""http://wa.me/55""&amp;REGEXREPLACE(J151,""\D+"",""""),LEFT(L151,FIND("" "",L151) - 1)&amp;"".Wpp"")"),"Norton.Wpp")</f>
        <v>Norton.Wpp</v>
      </c>
      <c r="L151" s="19" t="s">
        <v>890</v>
      </c>
      <c r="M151" s="20" t="s">
        <v>27</v>
      </c>
      <c r="N151" s="33">
        <v>45943.0</v>
      </c>
      <c r="O151" s="32">
        <f t="shared" si="21"/>
        <v>46003</v>
      </c>
      <c r="P151" s="32"/>
      <c r="Q151" s="20" t="s">
        <v>891</v>
      </c>
      <c r="R151" s="20">
        <v>7.7954336E9</v>
      </c>
      <c r="S151" s="20"/>
      <c r="T151" s="20"/>
    </row>
    <row r="152">
      <c r="A152" s="8" t="s">
        <v>892</v>
      </c>
      <c r="B152" s="9" t="s">
        <v>892</v>
      </c>
      <c r="C152" s="10" t="s">
        <v>22</v>
      </c>
      <c r="D152" s="11">
        <v>29568.0</v>
      </c>
      <c r="E152" s="10">
        <f t="shared" si="1"/>
        <v>45</v>
      </c>
      <c r="F152" s="12" t="s">
        <v>893</v>
      </c>
      <c r="G152" s="12" t="s">
        <v>894</v>
      </c>
      <c r="H152" s="10" t="s">
        <v>31</v>
      </c>
      <c r="I152" s="10" t="str">
        <f t="shared" si="18"/>
        <v>Ativo</v>
      </c>
      <c r="J152" s="10" t="s">
        <v>895</v>
      </c>
      <c r="K152" s="14" t="str">
        <f>IFERROR(__xludf.DUMMYFUNCTION("HYPERLINK(""http://wa.me/55""&amp;REGEXREPLACE(J152,""\D+"",""""),LEFT(L152,FIND("" "",L152) - 1)&amp;"".Wpp"")"),"Érica.Wpp")</f>
        <v>Érica.Wpp</v>
      </c>
      <c r="L152" s="35" t="s">
        <v>892</v>
      </c>
      <c r="M152" s="10" t="s">
        <v>139</v>
      </c>
      <c r="N152" s="17">
        <v>46077.0</v>
      </c>
      <c r="O152" s="16"/>
      <c r="P152" s="18"/>
      <c r="Q152" s="43" t="s">
        <v>896</v>
      </c>
      <c r="R152" s="37" t="s">
        <v>897</v>
      </c>
      <c r="S152" s="10" t="s">
        <v>898</v>
      </c>
      <c r="T152" s="24"/>
    </row>
    <row r="153">
      <c r="A153" s="19" t="s">
        <v>899</v>
      </c>
      <c r="B153" s="19"/>
      <c r="C153" s="20" t="s">
        <v>30</v>
      </c>
      <c r="D153" s="21">
        <v>27603.0</v>
      </c>
      <c r="E153" s="20">
        <f t="shared" si="1"/>
        <v>50</v>
      </c>
      <c r="F153" s="22"/>
      <c r="G153" s="20"/>
      <c r="H153" s="20" t="s">
        <v>31</v>
      </c>
      <c r="I153" s="20" t="s">
        <v>32</v>
      </c>
      <c r="J153" s="20" t="s">
        <v>900</v>
      </c>
      <c r="K153" s="19"/>
      <c r="L153" s="19" t="s">
        <v>899</v>
      </c>
      <c r="M153" s="20" t="s">
        <v>35</v>
      </c>
      <c r="N153" s="21">
        <v>46078.0</v>
      </c>
      <c r="O153" s="20"/>
      <c r="P153" s="23"/>
      <c r="Q153" s="20"/>
      <c r="R153" s="20"/>
      <c r="S153" s="20"/>
      <c r="T153" s="20"/>
    </row>
    <row r="154" hidden="1">
      <c r="A154" s="50" t="s">
        <v>901</v>
      </c>
      <c r="B154" s="9" t="s">
        <v>901</v>
      </c>
      <c r="C154" s="10" t="s">
        <v>30</v>
      </c>
      <c r="D154" s="25">
        <v>26630.0</v>
      </c>
      <c r="E154" s="10">
        <f t="shared" si="1"/>
        <v>53</v>
      </c>
      <c r="F154" s="26"/>
      <c r="G154" s="18"/>
      <c r="H154" s="10" t="s">
        <v>25</v>
      </c>
      <c r="I154" s="10" t="str">
        <f t="shared" ref="I154:I156" si="22">IF(OR(H154="Finalizado",H154="Desistência"),"Inativo","Ativo")</f>
        <v>Inativo</v>
      </c>
      <c r="J154" s="10" t="s">
        <v>902</v>
      </c>
      <c r="K154" s="14" t="str">
        <f>IFERROR(__xludf.DUMMYFUNCTION("HYPERLINK(""http://wa.me/55""&amp;REGEXREPLACE(J154,""\D+"",""""),LEFT(L154,FIND("" "",L154) - 1)&amp;"".Wpp"")"),"Patrícia.Wpp")</f>
        <v>Patrícia.Wpp</v>
      </c>
      <c r="L154" s="24" t="s">
        <v>903</v>
      </c>
      <c r="M154" s="18" t="s">
        <v>38</v>
      </c>
      <c r="N154" s="16">
        <v>45889.0</v>
      </c>
      <c r="O154" s="16">
        <f t="shared" ref="O154:O156" si="23">N154+60</f>
        <v>45949</v>
      </c>
      <c r="P154" s="16"/>
      <c r="Q154" s="18" t="s">
        <v>904</v>
      </c>
      <c r="R154" s="18">
        <v>7.353622962E10</v>
      </c>
      <c r="S154" s="8"/>
      <c r="T154" s="8" t="s">
        <v>30</v>
      </c>
    </row>
    <row r="155" hidden="1">
      <c r="A155" s="19" t="s">
        <v>905</v>
      </c>
      <c r="B155" s="28" t="s">
        <v>905</v>
      </c>
      <c r="C155" s="20" t="s">
        <v>38</v>
      </c>
      <c r="D155" s="29">
        <v>42262.0</v>
      </c>
      <c r="E155" s="20">
        <f t="shared" si="1"/>
        <v>10</v>
      </c>
      <c r="F155" s="30" t="s">
        <v>906</v>
      </c>
      <c r="G155" s="39" t="s">
        <v>907</v>
      </c>
      <c r="H155" s="20" t="s">
        <v>25</v>
      </c>
      <c r="I155" s="20" t="str">
        <f t="shared" si="22"/>
        <v>Inativo</v>
      </c>
      <c r="J155" s="20" t="s">
        <v>908</v>
      </c>
      <c r="K155" s="31" t="str">
        <f>IFERROR(__xludf.DUMMYFUNCTION("HYPERLINK(""http://wa.me/55""&amp;REGEXREPLACE(J155,""\D+"",""""),LEFT(L155,FIND("" "",L155) - 1)&amp;"".Wpp"")"),"Jeniffer.Wpp")</f>
        <v>Jeniffer.Wpp</v>
      </c>
      <c r="L155" s="42" t="s">
        <v>909</v>
      </c>
      <c r="M155" s="23" t="s">
        <v>256</v>
      </c>
      <c r="N155" s="32">
        <v>45797.0</v>
      </c>
      <c r="O155" s="32">
        <f t="shared" si="23"/>
        <v>45857</v>
      </c>
      <c r="P155" s="33">
        <v>45967.0</v>
      </c>
      <c r="Q155" s="23" t="s">
        <v>910</v>
      </c>
      <c r="R155" s="23">
        <v>1.1855855674E10</v>
      </c>
      <c r="S155" s="19"/>
      <c r="T155" s="19" t="s">
        <v>22</v>
      </c>
    </row>
    <row r="156" hidden="1">
      <c r="A156" s="8" t="s">
        <v>911</v>
      </c>
      <c r="B156" s="9" t="s">
        <v>911</v>
      </c>
      <c r="C156" s="10" t="s">
        <v>22</v>
      </c>
      <c r="D156" s="25">
        <v>38069.0</v>
      </c>
      <c r="E156" s="10">
        <f t="shared" si="1"/>
        <v>21</v>
      </c>
      <c r="F156" s="26"/>
      <c r="G156" s="18"/>
      <c r="H156" s="10" t="s">
        <v>25</v>
      </c>
      <c r="I156" s="10" t="str">
        <f t="shared" si="22"/>
        <v>Inativo</v>
      </c>
      <c r="J156" s="10" t="s">
        <v>912</v>
      </c>
      <c r="K156" s="14" t="str">
        <f>IFERROR(__xludf.DUMMYFUNCTION("HYPERLINK(""http://wa.me/55""&amp;REGEXREPLACE(J156,""\D+"",""""),LEFT(L156,FIND("" "",L156) - 1)&amp;"".Wpp"")"),"Lucicleia.Wpp")</f>
        <v>Lucicleia.Wpp</v>
      </c>
      <c r="L156" s="24" t="s">
        <v>913</v>
      </c>
      <c r="M156" s="18" t="s">
        <v>231</v>
      </c>
      <c r="N156" s="16">
        <v>45783.0</v>
      </c>
      <c r="O156" s="16">
        <f t="shared" si="23"/>
        <v>45843</v>
      </c>
      <c r="P156" s="18"/>
      <c r="Q156" s="18" t="s">
        <v>914</v>
      </c>
      <c r="R156" s="18">
        <v>9.9678233215E10</v>
      </c>
      <c r="S156" s="24"/>
      <c r="T156" s="24"/>
    </row>
    <row r="157">
      <c r="A157" s="19" t="s">
        <v>915</v>
      </c>
      <c r="B157" s="19"/>
      <c r="C157" s="20" t="s">
        <v>30</v>
      </c>
      <c r="D157" s="21">
        <v>37833.0</v>
      </c>
      <c r="E157" s="20">
        <f t="shared" si="1"/>
        <v>22</v>
      </c>
      <c r="F157" s="22"/>
      <c r="G157" s="20"/>
      <c r="H157" s="20" t="s">
        <v>31</v>
      </c>
      <c r="I157" s="20" t="s">
        <v>32</v>
      </c>
      <c r="J157" s="20">
        <v>31.0</v>
      </c>
      <c r="K157" s="19"/>
      <c r="L157" s="19" t="s">
        <v>916</v>
      </c>
      <c r="M157" s="20" t="s">
        <v>35</v>
      </c>
      <c r="N157" s="21">
        <v>46078.0</v>
      </c>
      <c r="O157" s="20"/>
      <c r="P157" s="23"/>
      <c r="Q157" s="20"/>
      <c r="R157" s="20"/>
      <c r="S157" s="20"/>
      <c r="T157" s="20"/>
    </row>
    <row r="158" hidden="1">
      <c r="A158" s="8" t="s">
        <v>917</v>
      </c>
      <c r="B158" s="9" t="s">
        <v>917</v>
      </c>
      <c r="C158" s="10" t="s">
        <v>22</v>
      </c>
      <c r="D158" s="11">
        <v>29764.0</v>
      </c>
      <c r="E158" s="10">
        <f t="shared" si="1"/>
        <v>44</v>
      </c>
      <c r="F158" s="12" t="s">
        <v>918</v>
      </c>
      <c r="G158" s="13" t="s">
        <v>919</v>
      </c>
      <c r="H158" s="10" t="s">
        <v>25</v>
      </c>
      <c r="I158" s="10" t="str">
        <f t="shared" ref="I158:I160" si="24">IF(OR(H158="Finalizado",H158="Desistência"),"Inativo","Ativo")</f>
        <v>Inativo</v>
      </c>
      <c r="J158" s="10" t="s">
        <v>920</v>
      </c>
      <c r="K158" s="14" t="str">
        <f>IFERROR(__xludf.DUMMYFUNCTION("HYPERLINK(""http://wa.me/55""&amp;REGEXREPLACE(J158,""\D+"",""""),LEFT(L158,FIND("" "",L158) - 1)&amp;"".Wpp"")"),"Romulo.Wpp")</f>
        <v>Romulo.Wpp</v>
      </c>
      <c r="L158" s="8" t="s">
        <v>921</v>
      </c>
      <c r="M158" s="10" t="s">
        <v>63</v>
      </c>
      <c r="N158" s="17">
        <v>45952.0</v>
      </c>
      <c r="O158" s="16">
        <f>N158+60</f>
        <v>46012</v>
      </c>
      <c r="P158" s="18"/>
      <c r="Q158" s="10" t="s">
        <v>922</v>
      </c>
      <c r="R158" s="10">
        <v>1.389618676E9</v>
      </c>
      <c r="S158" s="10"/>
      <c r="T158" s="10" t="s">
        <v>923</v>
      </c>
    </row>
    <row r="159" hidden="1">
      <c r="A159" s="19" t="s">
        <v>924</v>
      </c>
      <c r="B159" s="28" t="s">
        <v>924</v>
      </c>
      <c r="C159" s="20" t="s">
        <v>22</v>
      </c>
      <c r="D159" s="38">
        <v>38736.0</v>
      </c>
      <c r="E159" s="20">
        <f t="shared" si="1"/>
        <v>20</v>
      </c>
      <c r="F159" s="30" t="s">
        <v>925</v>
      </c>
      <c r="G159" s="30" t="s">
        <v>926</v>
      </c>
      <c r="H159" s="20" t="s">
        <v>52</v>
      </c>
      <c r="I159" s="20" t="str">
        <f t="shared" si="24"/>
        <v>Ativo</v>
      </c>
      <c r="J159" s="20" t="s">
        <v>927</v>
      </c>
      <c r="K159" s="31" t="str">
        <f>IFERROR(__xludf.DUMMYFUNCTION("HYPERLINK(""http://wa.me/55""&amp;REGEXREPLACE(J159,""\D+"",""""),LEFT(L159,FIND("" "",L159) - 1)&amp;"".Wpp"")"),"Ronald.Wpp")</f>
        <v>Ronald.Wpp</v>
      </c>
      <c r="L159" s="45" t="s">
        <v>924</v>
      </c>
      <c r="M159" s="20" t="s">
        <v>751</v>
      </c>
      <c r="N159" s="33">
        <v>45875.0</v>
      </c>
      <c r="O159" s="32"/>
      <c r="P159" s="33"/>
      <c r="Q159" s="46"/>
      <c r="R159" s="47" t="s">
        <v>928</v>
      </c>
      <c r="S159" s="20" t="s">
        <v>57</v>
      </c>
      <c r="T159" s="20" t="s">
        <v>929</v>
      </c>
    </row>
    <row r="160" hidden="1">
      <c r="A160" s="8" t="s">
        <v>930</v>
      </c>
      <c r="B160" s="9" t="s">
        <v>930</v>
      </c>
      <c r="C160" s="10" t="s">
        <v>38</v>
      </c>
      <c r="D160" s="25">
        <v>40981.0</v>
      </c>
      <c r="E160" s="10">
        <f t="shared" si="1"/>
        <v>13</v>
      </c>
      <c r="F160" s="12" t="s">
        <v>931</v>
      </c>
      <c r="G160" s="13" t="s">
        <v>932</v>
      </c>
      <c r="H160" s="18" t="s">
        <v>25</v>
      </c>
      <c r="I160" s="10" t="str">
        <f t="shared" si="24"/>
        <v>Inativo</v>
      </c>
      <c r="J160" s="10" t="s">
        <v>528</v>
      </c>
      <c r="K160" s="14" t="str">
        <f>IFERROR(__xludf.DUMMYFUNCTION("HYPERLINK(""http://wa.me/55""&amp;REGEXREPLACE(J160,""\D+"",""""),LEFT(L160,FIND("" "",L160) - 1)&amp;"".Wpp"")"),"Raquel.Wpp")</f>
        <v>Raquel.Wpp</v>
      </c>
      <c r="L160" s="24" t="s">
        <v>529</v>
      </c>
      <c r="M160" s="18" t="s">
        <v>933</v>
      </c>
      <c r="N160" s="16">
        <v>45757.0</v>
      </c>
      <c r="O160" s="16">
        <f>N160+60</f>
        <v>45817</v>
      </c>
      <c r="P160" s="18"/>
      <c r="Q160" s="18" t="s">
        <v>530</v>
      </c>
      <c r="R160" s="27" t="s">
        <v>531</v>
      </c>
      <c r="S160" s="24"/>
      <c r="T160" s="24"/>
    </row>
    <row r="161">
      <c r="A161" s="19" t="s">
        <v>934</v>
      </c>
      <c r="B161" s="19"/>
      <c r="C161" s="20" t="s">
        <v>30</v>
      </c>
      <c r="D161" s="21">
        <v>43488.0</v>
      </c>
      <c r="E161" s="20">
        <f t="shared" si="1"/>
        <v>7</v>
      </c>
      <c r="F161" s="22"/>
      <c r="G161" s="20"/>
      <c r="H161" s="20" t="s">
        <v>31</v>
      </c>
      <c r="I161" s="20" t="s">
        <v>32</v>
      </c>
      <c r="J161" s="20" t="s">
        <v>935</v>
      </c>
      <c r="K161" s="19"/>
      <c r="L161" s="19" t="s">
        <v>936</v>
      </c>
      <c r="M161" s="20" t="s">
        <v>35</v>
      </c>
      <c r="N161" s="21">
        <v>46078.0</v>
      </c>
      <c r="O161" s="20"/>
      <c r="P161" s="23"/>
      <c r="Q161" s="20"/>
      <c r="R161" s="20"/>
      <c r="S161" s="20"/>
      <c r="T161" s="20"/>
    </row>
    <row r="162" hidden="1">
      <c r="A162" s="8" t="s">
        <v>937</v>
      </c>
      <c r="B162" s="9" t="s">
        <v>937</v>
      </c>
      <c r="C162" s="8" t="s">
        <v>57</v>
      </c>
      <c r="D162" s="25">
        <v>42826.0</v>
      </c>
      <c r="E162" s="10">
        <f t="shared" si="1"/>
        <v>8</v>
      </c>
      <c r="F162" s="26"/>
      <c r="G162" s="18"/>
      <c r="H162" s="10" t="s">
        <v>568</v>
      </c>
      <c r="I162" s="10" t="str">
        <f t="shared" ref="I162:I168" si="25">IF(OR(H162="Finalizado",H162="Desistência"),"Inativo","Ativo")</f>
        <v>Inativo</v>
      </c>
      <c r="J162" s="10" t="s">
        <v>938</v>
      </c>
      <c r="K162" s="14" t="str">
        <f>IFERROR(__xludf.DUMMYFUNCTION("HYPERLINK(""http://wa.me/55""&amp;REGEXREPLACE(J162,""\D+"",""""),LEFT(L162,FIND("" "",L162) - 1)&amp;"".Wpp"")"),"Daiane.Wpp")</f>
        <v>Daiane.Wpp</v>
      </c>
      <c r="L162" s="24" t="s">
        <v>939</v>
      </c>
      <c r="M162" s="18" t="s">
        <v>38</v>
      </c>
      <c r="N162" s="16">
        <v>45888.0</v>
      </c>
      <c r="O162" s="16">
        <f>N162+60</f>
        <v>45948</v>
      </c>
      <c r="P162" s="18"/>
      <c r="Q162" s="18" t="s">
        <v>940</v>
      </c>
      <c r="R162" s="18" t="s">
        <v>941</v>
      </c>
      <c r="S162" s="24"/>
      <c r="T162" s="24"/>
    </row>
    <row r="163">
      <c r="A163" s="19" t="s">
        <v>942</v>
      </c>
      <c r="B163" s="28" t="s">
        <v>942</v>
      </c>
      <c r="C163" s="20" t="s">
        <v>22</v>
      </c>
      <c r="D163" s="38">
        <v>42012.0</v>
      </c>
      <c r="E163" s="20">
        <f t="shared" si="1"/>
        <v>11</v>
      </c>
      <c r="F163" s="30" t="s">
        <v>943</v>
      </c>
      <c r="G163" s="30" t="s">
        <v>944</v>
      </c>
      <c r="H163" s="20" t="s">
        <v>31</v>
      </c>
      <c r="I163" s="20" t="str">
        <f t="shared" si="25"/>
        <v>Ativo</v>
      </c>
      <c r="J163" s="20" t="s">
        <v>945</v>
      </c>
      <c r="K163" s="31" t="str">
        <f>IFERROR(__xludf.DUMMYFUNCTION("HYPERLINK(""http://wa.me/55""&amp;REGEXREPLACE(J163,""\D+"",""""),LEFT(L163,FIND("" "",L163) - 1)&amp;"".Wpp"")"),"Débora.Wpp")</f>
        <v>Débora.Wpp</v>
      </c>
      <c r="L163" s="45" t="s">
        <v>946</v>
      </c>
      <c r="M163" s="20" t="s">
        <v>751</v>
      </c>
      <c r="N163" s="33">
        <v>46079.0</v>
      </c>
      <c r="O163" s="32"/>
      <c r="P163" s="33"/>
      <c r="Q163" s="46" t="s">
        <v>947</v>
      </c>
      <c r="R163" s="47" t="s">
        <v>948</v>
      </c>
      <c r="S163" s="20" t="s">
        <v>949</v>
      </c>
      <c r="T163" s="20"/>
    </row>
    <row r="164" hidden="1">
      <c r="A164" s="8" t="s">
        <v>950</v>
      </c>
      <c r="B164" s="9" t="s">
        <v>950</v>
      </c>
      <c r="C164" s="10" t="s">
        <v>30</v>
      </c>
      <c r="D164" s="25">
        <v>42739.0</v>
      </c>
      <c r="E164" s="10">
        <f t="shared" si="1"/>
        <v>9</v>
      </c>
      <c r="F164" s="12" t="s">
        <v>951</v>
      </c>
      <c r="G164" s="18"/>
      <c r="H164" s="10" t="s">
        <v>25</v>
      </c>
      <c r="I164" s="10" t="str">
        <f t="shared" si="25"/>
        <v>Inativo</v>
      </c>
      <c r="J164" s="10" t="s">
        <v>952</v>
      </c>
      <c r="K164" s="14" t="str">
        <f>IFERROR(__xludf.DUMMYFUNCTION("HYPERLINK(""http://wa.me/55""&amp;REGEXREPLACE(J164,""\D+"",""""),LEFT(L164,FIND("" "",L164) - 1)&amp;"".Wpp"")"),"Livia.Wpp")</f>
        <v>Livia.Wpp</v>
      </c>
      <c r="L164" s="24" t="s">
        <v>953</v>
      </c>
      <c r="M164" s="18" t="s">
        <v>38</v>
      </c>
      <c r="N164" s="16">
        <v>45803.0</v>
      </c>
      <c r="O164" s="16">
        <f t="shared" ref="O164:O166" si="26">N164+60</f>
        <v>45863</v>
      </c>
      <c r="P164" s="17">
        <v>45995.0</v>
      </c>
      <c r="Q164" s="18" t="s">
        <v>954</v>
      </c>
      <c r="R164" s="27" t="s">
        <v>955</v>
      </c>
      <c r="S164" s="8"/>
      <c r="T164" s="8" t="s">
        <v>30</v>
      </c>
    </row>
    <row r="165" hidden="1">
      <c r="A165" s="19" t="s">
        <v>956</v>
      </c>
      <c r="B165" s="28" t="s">
        <v>956</v>
      </c>
      <c r="C165" s="20" t="s">
        <v>38</v>
      </c>
      <c r="D165" s="29">
        <v>41810.0</v>
      </c>
      <c r="E165" s="20">
        <f t="shared" si="1"/>
        <v>11</v>
      </c>
      <c r="F165" s="30" t="s">
        <v>957</v>
      </c>
      <c r="G165" s="39" t="s">
        <v>958</v>
      </c>
      <c r="H165" s="23" t="s">
        <v>25</v>
      </c>
      <c r="I165" s="20" t="str">
        <f t="shared" si="25"/>
        <v>Inativo</v>
      </c>
      <c r="J165" s="20" t="s">
        <v>959</v>
      </c>
      <c r="K165" s="31" t="str">
        <f>IFERROR(__xludf.DUMMYFUNCTION("HYPERLINK(""http://wa.me/55""&amp;REGEXREPLACE(J165,""\D+"",""""),LEFT(L165,FIND("" "",L165) - 1)&amp;"".Wpp"")"),"Nágila.Wpp")</f>
        <v>Nágila.Wpp</v>
      </c>
      <c r="L165" s="42" t="s">
        <v>960</v>
      </c>
      <c r="M165" s="23" t="s">
        <v>38</v>
      </c>
      <c r="N165" s="32">
        <v>45764.0</v>
      </c>
      <c r="O165" s="32">
        <f t="shared" si="26"/>
        <v>45824</v>
      </c>
      <c r="P165" s="23"/>
      <c r="Q165" s="23" t="s">
        <v>961</v>
      </c>
      <c r="R165" s="34" t="s">
        <v>962</v>
      </c>
      <c r="S165" s="42"/>
      <c r="T165" s="42"/>
    </row>
    <row r="166" hidden="1">
      <c r="A166" s="24" t="s">
        <v>118</v>
      </c>
      <c r="B166" s="9" t="s">
        <v>118</v>
      </c>
      <c r="C166" s="10" t="s">
        <v>38</v>
      </c>
      <c r="D166" s="25">
        <v>33774.0</v>
      </c>
      <c r="E166" s="10">
        <f t="shared" si="1"/>
        <v>33</v>
      </c>
      <c r="F166" s="12" t="s">
        <v>963</v>
      </c>
      <c r="G166" s="13" t="s">
        <v>964</v>
      </c>
      <c r="H166" s="10" t="s">
        <v>25</v>
      </c>
      <c r="I166" s="10" t="str">
        <f t="shared" si="25"/>
        <v>Inativo</v>
      </c>
      <c r="J166" s="10" t="s">
        <v>117</v>
      </c>
      <c r="K166" s="14" t="str">
        <f>IFERROR(__xludf.DUMMYFUNCTION("HYPERLINK(""http://wa.me/55""&amp;REGEXREPLACE(J166,""\D+"",""""),LEFT(L166,FIND("" "",L166) - 1)&amp;"".Wpp"")"),"Tatielle.Wpp")</f>
        <v>Tatielle.Wpp</v>
      </c>
      <c r="L166" s="8" t="s">
        <v>118</v>
      </c>
      <c r="M166" s="18" t="s">
        <v>69</v>
      </c>
      <c r="N166" s="16">
        <v>45806.0</v>
      </c>
      <c r="O166" s="16">
        <f t="shared" si="26"/>
        <v>45866</v>
      </c>
      <c r="P166" s="18"/>
      <c r="Q166" s="18" t="s">
        <v>119</v>
      </c>
      <c r="R166" s="18">
        <v>1.2279799677E10</v>
      </c>
      <c r="S166" s="24"/>
      <c r="T166" s="24"/>
    </row>
    <row r="167" hidden="1">
      <c r="A167" s="19" t="s">
        <v>965</v>
      </c>
      <c r="B167" s="28" t="s">
        <v>965</v>
      </c>
      <c r="C167" s="20" t="s">
        <v>22</v>
      </c>
      <c r="D167" s="38">
        <v>39863.0</v>
      </c>
      <c r="E167" s="20">
        <f t="shared" si="1"/>
        <v>17</v>
      </c>
      <c r="F167" s="30" t="s">
        <v>966</v>
      </c>
      <c r="G167" s="30" t="s">
        <v>967</v>
      </c>
      <c r="H167" s="20" t="s">
        <v>52</v>
      </c>
      <c r="I167" s="20" t="str">
        <f t="shared" si="25"/>
        <v>Ativo</v>
      </c>
      <c r="J167" s="20" t="s">
        <v>968</v>
      </c>
      <c r="K167" s="31" t="str">
        <f>IFERROR(__xludf.DUMMYFUNCTION("HYPERLINK(""http://wa.me/55""&amp;REGEXREPLACE(J167,""\D+"",""""),LEFT(L167,FIND("" "",L167) - 1)&amp;"".Wpp"")"),"Tatiane.Wpp")</f>
        <v>Tatiane.Wpp</v>
      </c>
      <c r="L167" s="45" t="s">
        <v>969</v>
      </c>
      <c r="M167" s="20" t="s">
        <v>54</v>
      </c>
      <c r="N167" s="33">
        <v>46008.0</v>
      </c>
      <c r="O167" s="32"/>
      <c r="P167" s="33"/>
      <c r="Q167" s="46" t="s">
        <v>970</v>
      </c>
      <c r="R167" s="47" t="s">
        <v>971</v>
      </c>
      <c r="S167" s="20" t="s">
        <v>57</v>
      </c>
      <c r="T167" s="42"/>
    </row>
    <row r="168" hidden="1">
      <c r="A168" s="8" t="s">
        <v>972</v>
      </c>
      <c r="B168" s="9" t="s">
        <v>972</v>
      </c>
      <c r="C168" s="10" t="s">
        <v>22</v>
      </c>
      <c r="D168" s="11">
        <v>43148.0</v>
      </c>
      <c r="E168" s="10">
        <f t="shared" si="1"/>
        <v>8</v>
      </c>
      <c r="F168" s="12" t="s">
        <v>973</v>
      </c>
      <c r="G168" s="18"/>
      <c r="H168" s="10" t="s">
        <v>25</v>
      </c>
      <c r="I168" s="10" t="str">
        <f t="shared" si="25"/>
        <v>Inativo</v>
      </c>
      <c r="J168" s="10" t="s">
        <v>974</v>
      </c>
      <c r="K168" s="14" t="str">
        <f>IFERROR(__xludf.DUMMYFUNCTION("HYPERLINK(""http://wa.me/55""&amp;REGEXREPLACE(J168,""\D+"",""""),LEFT(L168,FIND("" "",L168) - 1)&amp;"".Wpp"")"),"Andréia.Wpp")</f>
        <v>Andréia.Wpp</v>
      </c>
      <c r="L168" s="8" t="s">
        <v>975</v>
      </c>
      <c r="M168" s="18"/>
      <c r="N168" s="17">
        <v>45919.0</v>
      </c>
      <c r="O168" s="16">
        <f>N168+60</f>
        <v>45979</v>
      </c>
      <c r="P168" s="17"/>
      <c r="Q168" s="10" t="s">
        <v>976</v>
      </c>
      <c r="R168" s="10" t="s">
        <v>977</v>
      </c>
      <c r="S168" s="24"/>
      <c r="T168" s="24"/>
    </row>
    <row r="169">
      <c r="A169" s="19" t="s">
        <v>978</v>
      </c>
      <c r="B169" s="19"/>
      <c r="C169" s="20" t="s">
        <v>30</v>
      </c>
      <c r="D169" s="21">
        <v>44132.0</v>
      </c>
      <c r="E169" s="20">
        <f t="shared" si="1"/>
        <v>5</v>
      </c>
      <c r="F169" s="22"/>
      <c r="G169" s="20"/>
      <c r="H169" s="20" t="s">
        <v>31</v>
      </c>
      <c r="I169" s="20" t="s">
        <v>32</v>
      </c>
      <c r="J169" s="20" t="s">
        <v>979</v>
      </c>
      <c r="K169" s="19"/>
      <c r="L169" s="19" t="s">
        <v>980</v>
      </c>
      <c r="M169" s="20" t="s">
        <v>63</v>
      </c>
      <c r="N169" s="21">
        <v>46079.0</v>
      </c>
      <c r="O169" s="20"/>
      <c r="P169" s="23"/>
      <c r="Q169" s="20"/>
      <c r="R169" s="20"/>
      <c r="S169" s="20"/>
      <c r="T169" s="20"/>
    </row>
    <row r="170">
      <c r="A170" s="8" t="s">
        <v>981</v>
      </c>
      <c r="B170" s="8"/>
      <c r="C170" s="10" t="s">
        <v>30</v>
      </c>
      <c r="D170" s="70">
        <v>36369.0</v>
      </c>
      <c r="E170" s="10">
        <f t="shared" si="1"/>
        <v>26</v>
      </c>
      <c r="F170" s="44"/>
      <c r="G170" s="10"/>
      <c r="H170" s="10" t="s">
        <v>31</v>
      </c>
      <c r="I170" s="10" t="s">
        <v>32</v>
      </c>
      <c r="J170" s="10" t="s">
        <v>982</v>
      </c>
      <c r="K170" s="8"/>
      <c r="L170" s="8" t="s">
        <v>981</v>
      </c>
      <c r="M170" s="51" t="s">
        <v>69</v>
      </c>
      <c r="N170" s="70">
        <v>46080.0</v>
      </c>
      <c r="O170" s="10"/>
      <c r="P170" s="18"/>
      <c r="Q170" s="10"/>
      <c r="R170" s="10"/>
      <c r="S170" s="10"/>
      <c r="T170" s="10"/>
    </row>
    <row r="171" hidden="1">
      <c r="A171" s="76" t="s">
        <v>983</v>
      </c>
      <c r="B171" s="28" t="s">
        <v>983</v>
      </c>
      <c r="C171" s="20" t="s">
        <v>30</v>
      </c>
      <c r="D171" s="29">
        <v>42563.0</v>
      </c>
      <c r="E171" s="20">
        <f t="shared" si="1"/>
        <v>9</v>
      </c>
      <c r="F171" s="41"/>
      <c r="G171" s="23"/>
      <c r="H171" s="20" t="s">
        <v>25</v>
      </c>
      <c r="I171" s="20" t="str">
        <f t="shared" ref="I171:I172" si="27">IF(OR(H171="Finalizado",H171="Desistência"),"Inativo","Ativo")</f>
        <v>Inativo</v>
      </c>
      <c r="J171" s="20" t="s">
        <v>984</v>
      </c>
      <c r="K171" s="31" t="str">
        <f>IFERROR(__xludf.DUMMYFUNCTION("HYPERLINK(""http://wa.me/55""&amp;REGEXREPLACE(J171,""\D+"",""""),LEFT(L171,FIND("" "",L171) - 1)&amp;"".Wpp"")"),"Lidiane.Wpp")</f>
        <v>Lidiane.Wpp</v>
      </c>
      <c r="L171" s="42" t="s">
        <v>985</v>
      </c>
      <c r="M171" s="20" t="s">
        <v>986</v>
      </c>
      <c r="N171" s="32">
        <v>45849.0</v>
      </c>
      <c r="O171" s="32">
        <f t="shared" ref="O171:O172" si="28">N171+60</f>
        <v>45909</v>
      </c>
      <c r="P171" s="33">
        <v>46014.0</v>
      </c>
      <c r="Q171" s="23" t="s">
        <v>987</v>
      </c>
      <c r="R171" s="23" t="s">
        <v>988</v>
      </c>
      <c r="S171" s="20"/>
      <c r="T171" s="20"/>
    </row>
    <row r="172" hidden="1">
      <c r="A172" s="8" t="s">
        <v>989</v>
      </c>
      <c r="B172" s="9" t="s">
        <v>989</v>
      </c>
      <c r="C172" s="10" t="s">
        <v>30</v>
      </c>
      <c r="D172" s="25">
        <v>42934.0</v>
      </c>
      <c r="E172" s="10">
        <f t="shared" si="1"/>
        <v>8</v>
      </c>
      <c r="F172" s="12" t="s">
        <v>990</v>
      </c>
      <c r="G172" s="18"/>
      <c r="H172" s="10" t="s">
        <v>25</v>
      </c>
      <c r="I172" s="10" t="str">
        <f t="shared" si="27"/>
        <v>Inativo</v>
      </c>
      <c r="J172" s="10" t="s">
        <v>991</v>
      </c>
      <c r="K172" s="14" t="str">
        <f>IFERROR(__xludf.DUMMYFUNCTION("HYPERLINK(""http://wa.me/55""&amp;REGEXREPLACE(J172,""\D+"",""""),LEFT(L172,FIND("" "",L172) - 1)&amp;"".Wpp"")"),"Heloísa.Wpp")</f>
        <v>Heloísa.Wpp</v>
      </c>
      <c r="L172" s="24" t="s">
        <v>992</v>
      </c>
      <c r="M172" s="18" t="s">
        <v>38</v>
      </c>
      <c r="N172" s="16">
        <v>45800.0</v>
      </c>
      <c r="O172" s="16">
        <f t="shared" si="28"/>
        <v>45860</v>
      </c>
      <c r="P172" s="17">
        <v>45993.0</v>
      </c>
      <c r="Q172" s="18" t="s">
        <v>993</v>
      </c>
      <c r="R172" s="18">
        <v>9.721327662E10</v>
      </c>
      <c r="S172" s="8"/>
      <c r="T172" s="8" t="s">
        <v>30</v>
      </c>
    </row>
    <row r="173">
      <c r="A173" s="19" t="s">
        <v>994</v>
      </c>
      <c r="B173" s="19"/>
      <c r="C173" s="20" t="s">
        <v>30</v>
      </c>
      <c r="D173" s="38">
        <v>37187.0</v>
      </c>
      <c r="E173" s="20">
        <f t="shared" si="1"/>
        <v>24</v>
      </c>
      <c r="F173" s="22"/>
      <c r="G173" s="20"/>
      <c r="H173" s="20" t="s">
        <v>31</v>
      </c>
      <c r="I173" s="20"/>
      <c r="J173" s="20" t="s">
        <v>995</v>
      </c>
      <c r="K173" s="19"/>
      <c r="L173" s="19" t="s">
        <v>996</v>
      </c>
      <c r="M173" s="23"/>
      <c r="N173" s="33"/>
      <c r="O173" s="32"/>
      <c r="P173" s="23"/>
      <c r="Q173" s="20"/>
      <c r="R173" s="20"/>
      <c r="S173" s="20"/>
      <c r="T173" s="20"/>
    </row>
    <row r="174">
      <c r="A174" s="8" t="s">
        <v>997</v>
      </c>
      <c r="B174" s="9" t="s">
        <v>997</v>
      </c>
      <c r="C174" s="10" t="s">
        <v>30</v>
      </c>
      <c r="D174" s="11">
        <v>32838.0</v>
      </c>
      <c r="E174" s="10">
        <f t="shared" si="1"/>
        <v>36</v>
      </c>
      <c r="F174" s="44"/>
      <c r="G174" s="10"/>
      <c r="H174" s="10" t="s">
        <v>31</v>
      </c>
      <c r="I174" s="10" t="s">
        <v>32</v>
      </c>
      <c r="J174" s="10" t="s">
        <v>998</v>
      </c>
      <c r="K174" s="8"/>
      <c r="L174" s="8" t="s">
        <v>997</v>
      </c>
      <c r="M174" s="10" t="s">
        <v>424</v>
      </c>
      <c r="N174" s="17"/>
      <c r="O174" s="10"/>
      <c r="P174" s="18"/>
      <c r="Q174" s="10"/>
      <c r="R174" s="10">
        <v>8.575978683E9</v>
      </c>
      <c r="S174" s="10"/>
      <c r="T174" s="10"/>
    </row>
    <row r="175" hidden="1">
      <c r="A175" s="19" t="s">
        <v>999</v>
      </c>
      <c r="B175" s="28" t="s">
        <v>999</v>
      </c>
      <c r="C175" s="20" t="s">
        <v>22</v>
      </c>
      <c r="D175" s="38">
        <v>42744.0</v>
      </c>
      <c r="E175" s="20">
        <f t="shared" si="1"/>
        <v>9</v>
      </c>
      <c r="F175" s="30" t="s">
        <v>1000</v>
      </c>
      <c r="G175" s="20"/>
      <c r="H175" s="20" t="s">
        <v>25</v>
      </c>
      <c r="I175" s="20" t="str">
        <f t="shared" ref="I175:I181" si="29">IF(OR(H175="Finalizado",H175="Desistência"),"Inativo","Ativo")</f>
        <v>Inativo</v>
      </c>
      <c r="J175" s="20" t="s">
        <v>1001</v>
      </c>
      <c r="K175" s="31" t="str">
        <f>IFERROR(__xludf.DUMMYFUNCTION("HYPERLINK(""http://wa.me/55""&amp;REGEXREPLACE(J175,""\D+"",""""),LEFT(L175,FIND("" "",L175) - 1)&amp;"".Wpp"")"),"Hayane.Wpp")</f>
        <v>Hayane.Wpp</v>
      </c>
      <c r="L175" s="19" t="s">
        <v>1002</v>
      </c>
      <c r="M175" s="20" t="s">
        <v>54</v>
      </c>
      <c r="N175" s="33">
        <v>45926.0</v>
      </c>
      <c r="O175" s="32">
        <f t="shared" ref="O175:O178" si="30">N175+60</f>
        <v>45986</v>
      </c>
      <c r="P175" s="23"/>
      <c r="Q175" s="20" t="s">
        <v>1003</v>
      </c>
      <c r="R175" s="20">
        <v>1.823365655E9</v>
      </c>
      <c r="S175" s="20"/>
      <c r="T175" s="20" t="s">
        <v>1004</v>
      </c>
    </row>
    <row r="176" hidden="1">
      <c r="A176" s="55" t="s">
        <v>1005</v>
      </c>
      <c r="B176" s="56" t="s">
        <v>1005</v>
      </c>
      <c r="C176" s="54" t="s">
        <v>22</v>
      </c>
      <c r="D176" s="57">
        <v>42650.0</v>
      </c>
      <c r="E176" s="10">
        <f t="shared" si="1"/>
        <v>9</v>
      </c>
      <c r="F176" s="58" t="s">
        <v>1006</v>
      </c>
      <c r="G176" s="58" t="s">
        <v>1007</v>
      </c>
      <c r="H176" s="54" t="s">
        <v>52</v>
      </c>
      <c r="I176" s="54" t="str">
        <f t="shared" si="29"/>
        <v>Ativo</v>
      </c>
      <c r="J176" s="54" t="s">
        <v>1008</v>
      </c>
      <c r="K176" s="66" t="str">
        <f>IFERROR(__xludf.DUMMYFUNCTION("HYPERLINK(""http://wa.me/55""&amp;REGEXREPLACE(J176,""\D+"",""""),LEFT(L176,FIND("" "",L176) - 1)&amp;"".Wpp"")"),"Régila.Wpp")</f>
        <v>Régila.Wpp</v>
      </c>
      <c r="L176" s="60" t="s">
        <v>1009</v>
      </c>
      <c r="M176" s="54" t="s">
        <v>751</v>
      </c>
      <c r="N176" s="61">
        <v>45790.0</v>
      </c>
      <c r="O176" s="61">
        <f t="shared" si="30"/>
        <v>45850</v>
      </c>
      <c r="P176" s="62">
        <v>45985.0</v>
      </c>
      <c r="Q176" s="63" t="s">
        <v>1010</v>
      </c>
      <c r="R176" s="77" t="s">
        <v>1011</v>
      </c>
      <c r="S176" s="54" t="s">
        <v>57</v>
      </c>
      <c r="T176" s="54" t="s">
        <v>1012</v>
      </c>
    </row>
    <row r="177" hidden="1">
      <c r="A177" s="19" t="s">
        <v>1013</v>
      </c>
      <c r="B177" s="28" t="s">
        <v>1013</v>
      </c>
      <c r="C177" s="20" t="s">
        <v>38</v>
      </c>
      <c r="D177" s="29">
        <v>37273.0</v>
      </c>
      <c r="E177" s="20">
        <f t="shared" si="1"/>
        <v>24</v>
      </c>
      <c r="F177" s="30" t="s">
        <v>1014</v>
      </c>
      <c r="G177" s="39" t="s">
        <v>1015</v>
      </c>
      <c r="H177" s="23" t="s">
        <v>25</v>
      </c>
      <c r="I177" s="20" t="str">
        <f t="shared" si="29"/>
        <v>Inativo</v>
      </c>
      <c r="J177" s="20" t="s">
        <v>1016</v>
      </c>
      <c r="K177" s="31" t="str">
        <f>IFERROR(__xludf.DUMMYFUNCTION("HYPERLINK(""http://wa.me/55""&amp;REGEXREPLACE(J177,""\D+"",""""),LEFT(L177,FIND("" "",L177) - 1)&amp;"".Wpp"")"),"Eder.Wpp")</f>
        <v>Eder.Wpp</v>
      </c>
      <c r="L177" s="42" t="s">
        <v>1017</v>
      </c>
      <c r="M177" s="23" t="s">
        <v>38</v>
      </c>
      <c r="N177" s="32">
        <v>45744.0</v>
      </c>
      <c r="O177" s="32">
        <f t="shared" si="30"/>
        <v>45804</v>
      </c>
      <c r="P177" s="23"/>
      <c r="Q177" s="23" t="s">
        <v>1018</v>
      </c>
      <c r="R177" s="23" t="s">
        <v>1019</v>
      </c>
      <c r="S177" s="42"/>
      <c r="T177" s="42"/>
    </row>
    <row r="178" hidden="1">
      <c r="A178" s="55" t="s">
        <v>1020</v>
      </c>
      <c r="B178" s="56" t="s">
        <v>1021</v>
      </c>
      <c r="C178" s="54" t="s">
        <v>30</v>
      </c>
      <c r="D178" s="57">
        <v>42160.0</v>
      </c>
      <c r="E178" s="10">
        <f t="shared" si="1"/>
        <v>10</v>
      </c>
      <c r="F178" s="58" t="s">
        <v>1022</v>
      </c>
      <c r="G178" s="78" t="s">
        <v>1023</v>
      </c>
      <c r="H178" s="54" t="s">
        <v>52</v>
      </c>
      <c r="I178" s="54" t="str">
        <f t="shared" si="29"/>
        <v>Ativo</v>
      </c>
      <c r="J178" s="54" t="s">
        <v>1024</v>
      </c>
      <c r="K178" s="55"/>
      <c r="L178" s="67" t="s">
        <v>1025</v>
      </c>
      <c r="M178" s="51" t="s">
        <v>1026</v>
      </c>
      <c r="N178" s="61">
        <v>45776.0</v>
      </c>
      <c r="O178" s="61">
        <f t="shared" si="30"/>
        <v>45836</v>
      </c>
      <c r="P178" s="51"/>
      <c r="Q178" s="51" t="s">
        <v>1027</v>
      </c>
      <c r="R178" s="51">
        <v>1.0177192682E10</v>
      </c>
      <c r="S178" s="51"/>
      <c r="T178" s="51"/>
    </row>
    <row r="179">
      <c r="A179" s="19" t="s">
        <v>1028</v>
      </c>
      <c r="B179" s="28" t="s">
        <v>1029</v>
      </c>
      <c r="C179" s="20" t="s">
        <v>22</v>
      </c>
      <c r="D179" s="38">
        <v>41225.0</v>
      </c>
      <c r="E179" s="20">
        <f t="shared" si="1"/>
        <v>13</v>
      </c>
      <c r="F179" s="30" t="s">
        <v>1030</v>
      </c>
      <c r="G179" s="30" t="s">
        <v>1031</v>
      </c>
      <c r="H179" s="20" t="s">
        <v>31</v>
      </c>
      <c r="I179" s="20" t="str">
        <f t="shared" si="29"/>
        <v>Ativo</v>
      </c>
      <c r="J179" s="20" t="s">
        <v>1032</v>
      </c>
      <c r="K179" s="31" t="str">
        <f>IFERROR(__xludf.DUMMYFUNCTION("HYPERLINK(""http://wa.me/55""&amp;REGEXREPLACE(J179,""\D+"",""""),LEFT(L179,FIND("" "",L179) - 1)&amp;"".Wpp"")"),"Vanessa.Wpp")</f>
        <v>Vanessa.Wpp</v>
      </c>
      <c r="L179" s="45" t="s">
        <v>1033</v>
      </c>
      <c r="M179" s="20" t="s">
        <v>139</v>
      </c>
      <c r="N179" s="33"/>
      <c r="O179" s="32"/>
      <c r="P179" s="23"/>
      <c r="Q179" s="46" t="s">
        <v>1034</v>
      </c>
      <c r="R179" s="47" t="s">
        <v>1035</v>
      </c>
      <c r="S179" s="20" t="s">
        <v>703</v>
      </c>
      <c r="T179" s="20"/>
    </row>
    <row r="180" hidden="1">
      <c r="A180" s="8" t="s">
        <v>1036</v>
      </c>
      <c r="B180" s="9" t="s">
        <v>1036</v>
      </c>
      <c r="C180" s="10" t="s">
        <v>38</v>
      </c>
      <c r="D180" s="25">
        <v>29498.0</v>
      </c>
      <c r="E180" s="10">
        <f t="shared" si="1"/>
        <v>45</v>
      </c>
      <c r="F180" s="12" t="s">
        <v>1037</v>
      </c>
      <c r="G180" s="13" t="s">
        <v>1038</v>
      </c>
      <c r="H180" s="10" t="s">
        <v>25</v>
      </c>
      <c r="I180" s="10" t="str">
        <f t="shared" si="29"/>
        <v>Inativo</v>
      </c>
      <c r="J180" s="10" t="s">
        <v>1039</v>
      </c>
      <c r="K180" s="14" t="str">
        <f>IFERROR(__xludf.DUMMYFUNCTION("HYPERLINK(""http://wa.me/55""&amp;REGEXREPLACE(J180,""\D+"",""""),LEFT(L180,FIND("" "",L180) - 1)&amp;"".Wpp"")"),"Wermington.Wpp")</f>
        <v>Wermington.Wpp</v>
      </c>
      <c r="L180" s="24" t="s">
        <v>1040</v>
      </c>
      <c r="M180" s="18" t="s">
        <v>38</v>
      </c>
      <c r="N180" s="16">
        <v>45828.0</v>
      </c>
      <c r="O180" s="16">
        <f t="shared" ref="O180:O181" si="31">N180+60</f>
        <v>45888</v>
      </c>
      <c r="P180" s="18"/>
      <c r="Q180" s="18" t="s">
        <v>1041</v>
      </c>
      <c r="R180" s="27" t="s">
        <v>1042</v>
      </c>
      <c r="S180" s="24"/>
      <c r="T180" s="24"/>
    </row>
    <row r="181" hidden="1">
      <c r="A181" s="19" t="s">
        <v>1043</v>
      </c>
      <c r="B181" s="28" t="s">
        <v>1043</v>
      </c>
      <c r="C181" s="20" t="s">
        <v>30</v>
      </c>
      <c r="D181" s="38">
        <v>42474.0</v>
      </c>
      <c r="E181" s="20">
        <f t="shared" si="1"/>
        <v>9</v>
      </c>
      <c r="F181" s="22"/>
      <c r="G181" s="20"/>
      <c r="H181" s="20" t="s">
        <v>25</v>
      </c>
      <c r="I181" s="20" t="str">
        <f t="shared" si="29"/>
        <v>Inativo</v>
      </c>
      <c r="J181" s="20" t="s">
        <v>920</v>
      </c>
      <c r="K181" s="31" t="str">
        <f>IFERROR(__xludf.DUMMYFUNCTION("HYPERLINK(""http://wa.me/55""&amp;REGEXREPLACE(J181,""\D+"",""""),LEFT(L181,FIND("" "",L181) - 1)&amp;"".Wpp"")"),"Romulo.Wpp")</f>
        <v>Romulo.Wpp</v>
      </c>
      <c r="L181" s="19" t="s">
        <v>921</v>
      </c>
      <c r="M181" s="23"/>
      <c r="N181" s="33">
        <v>45959.0</v>
      </c>
      <c r="O181" s="32">
        <f t="shared" si="31"/>
        <v>46019</v>
      </c>
      <c r="P181" s="23"/>
      <c r="Q181" s="20" t="s">
        <v>922</v>
      </c>
      <c r="R181" s="20">
        <v>1.389618676E9</v>
      </c>
      <c r="S181" s="20"/>
      <c r="T181" s="20"/>
    </row>
  </sheetData>
  <autoFilter ref="$A$1:$T$181">
    <filterColumn colId="7">
      <filters>
        <filter val="Em avaliação"/>
      </filters>
    </filterColumn>
  </autoFilter>
  <customSheetViews>
    <customSheetView guid="{2B82DF32-4670-4315-AB4C-3D0DD41E6353}" filter="1" showAutoFilter="1">
      <autoFilter ref="$A$1:$T$181"/>
    </customSheetView>
    <customSheetView guid="{0EC1CD81-3D04-46C1-8124-DD5BC6EBF72E}" filter="1" showAutoFilter="1">
      <autoFilter ref="$A$1:$T$181">
        <filterColumn colId="2">
          <filters>
            <filter val="Amanda"/>
          </filters>
        </filterColumn>
        <filterColumn colId="7">
          <filters>
            <filter val="Em avaliação"/>
            <filter val="Laudo"/>
            <filter val="Desistência"/>
          </filters>
        </filterColumn>
        <sortState ref="A1:T181">
          <sortCondition ref="N1:N181"/>
          <sortCondition ref="A1:A181"/>
        </sortState>
      </autoFilter>
    </customSheetView>
  </customSheetViews>
  <dataValidations>
    <dataValidation type="list" allowBlank="1" showErrorMessage="1" sqref="H2:H181">
      <formula1>"Agendado,Desistência,Em avaliação ,Finalizado,Laudo "</formula1>
    </dataValidation>
  </dataValidations>
  <hyperlinks>
    <hyperlink r:id="rId1" ref="B2"/>
    <hyperlink r:id="rId2" ref="F2"/>
    <hyperlink r:id="rId3" ref="G2"/>
    <hyperlink r:id="rId4" ref="B4"/>
    <hyperlink r:id="rId5" ref="B5"/>
    <hyperlink r:id="rId6" ref="F5"/>
    <hyperlink r:id="rId7" ref="B6"/>
    <hyperlink r:id="rId8" ref="F6"/>
    <hyperlink r:id="rId9" ref="G6"/>
    <hyperlink r:id="rId10" ref="B7"/>
    <hyperlink r:id="rId11" ref="F7"/>
    <hyperlink r:id="rId12" ref="G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G11"/>
    <hyperlink r:id="rId21" ref="B12"/>
    <hyperlink r:id="rId22" ref="F12"/>
    <hyperlink r:id="rId23" ref="G12"/>
    <hyperlink r:id="rId24" ref="B13"/>
    <hyperlink r:id="rId25" ref="G13"/>
    <hyperlink r:id="rId26" ref="B14"/>
    <hyperlink r:id="rId27" ref="F14"/>
    <hyperlink r:id="rId28" ref="G14"/>
    <hyperlink r:id="rId29" ref="B15"/>
    <hyperlink r:id="rId30" ref="B16"/>
    <hyperlink r:id="rId31" ref="B17"/>
    <hyperlink r:id="rId32" ref="F17"/>
    <hyperlink r:id="rId33" ref="G17"/>
    <hyperlink r:id="rId34" ref="B18"/>
    <hyperlink r:id="rId35" ref="F18"/>
    <hyperlink r:id="rId36" ref="G18"/>
    <hyperlink r:id="rId37" ref="B19"/>
    <hyperlink r:id="rId38" ref="F19"/>
    <hyperlink r:id="rId39" ref="G19"/>
    <hyperlink r:id="rId40" ref="B20"/>
    <hyperlink r:id="rId41" ref="F20"/>
    <hyperlink r:id="rId42" ref="B21"/>
    <hyperlink r:id="rId43" ref="F21"/>
    <hyperlink r:id="rId44" ref="G21"/>
    <hyperlink r:id="rId45" ref="B22"/>
    <hyperlink r:id="rId46" ref="F22"/>
    <hyperlink r:id="rId47" ref="B23"/>
    <hyperlink r:id="rId48" ref="F23"/>
    <hyperlink r:id="rId49" ref="B24"/>
    <hyperlink r:id="rId50" ref="G24"/>
    <hyperlink r:id="rId51" ref="B25"/>
    <hyperlink r:id="rId52" ref="F25"/>
    <hyperlink r:id="rId53" ref="B26"/>
    <hyperlink r:id="rId54" ref="B27"/>
    <hyperlink r:id="rId55" ref="F27"/>
    <hyperlink r:id="rId56" ref="G27"/>
    <hyperlink r:id="rId57" ref="B28"/>
    <hyperlink r:id="rId58" ref="F28"/>
    <hyperlink r:id="rId59" ref="G28"/>
    <hyperlink r:id="rId60" ref="B29"/>
    <hyperlink r:id="rId61" ref="F29"/>
    <hyperlink r:id="rId62" ref="G29"/>
    <hyperlink r:id="rId63" ref="B30"/>
    <hyperlink r:id="rId64" ref="F30"/>
    <hyperlink r:id="rId65" ref="B31"/>
    <hyperlink r:id="rId66" ref="F31"/>
    <hyperlink r:id="rId67" ref="B32"/>
    <hyperlink r:id="rId68" ref="B33"/>
    <hyperlink r:id="rId69" ref="F33"/>
    <hyperlink r:id="rId70" ref="G33"/>
    <hyperlink r:id="rId71" ref="B34"/>
    <hyperlink r:id="rId72" ref="F34"/>
    <hyperlink r:id="rId73" ref="G34"/>
    <hyperlink r:id="rId74" ref="B35"/>
    <hyperlink r:id="rId75" ref="F35"/>
    <hyperlink r:id="rId76" ref="G35"/>
    <hyperlink r:id="rId77" ref="B36"/>
    <hyperlink r:id="rId78" ref="G36"/>
    <hyperlink r:id="rId79" ref="B37"/>
    <hyperlink r:id="rId80" ref="B38"/>
    <hyperlink r:id="rId81" ref="B39"/>
    <hyperlink r:id="rId82" ref="F39"/>
    <hyperlink r:id="rId83" ref="G39"/>
    <hyperlink r:id="rId84" ref="B40"/>
    <hyperlink r:id="rId85" ref="F40"/>
    <hyperlink r:id="rId86" ref="G40"/>
    <hyperlink r:id="rId87" ref="B41"/>
    <hyperlink r:id="rId88" ref="F41"/>
    <hyperlink r:id="rId89" ref="B42"/>
    <hyperlink r:id="rId90" ref="B43"/>
    <hyperlink r:id="rId91" ref="F43"/>
    <hyperlink r:id="rId92" ref="G43"/>
    <hyperlink r:id="rId93" ref="B44"/>
    <hyperlink r:id="rId94" ref="B45"/>
    <hyperlink r:id="rId95" ref="F45"/>
    <hyperlink r:id="rId96" ref="B46"/>
    <hyperlink r:id="rId97" ref="B47"/>
    <hyperlink r:id="rId98" ref="G47"/>
    <hyperlink r:id="rId99" ref="B48"/>
    <hyperlink r:id="rId100" ref="F48"/>
    <hyperlink r:id="rId101" ref="G48"/>
    <hyperlink r:id="rId102" ref="B49"/>
    <hyperlink r:id="rId103" ref="F49"/>
    <hyperlink r:id="rId104" ref="G49"/>
    <hyperlink r:id="rId105" ref="B50"/>
    <hyperlink r:id="rId106" ref="B51"/>
    <hyperlink r:id="rId107" ref="F51"/>
    <hyperlink r:id="rId108" ref="G51"/>
    <hyperlink r:id="rId109" ref="B52"/>
    <hyperlink r:id="rId110" ref="B53"/>
    <hyperlink r:id="rId111" ref="B54"/>
    <hyperlink r:id="rId112" ref="B55"/>
    <hyperlink r:id="rId113" ref="F55"/>
    <hyperlink r:id="rId114" ref="G55"/>
    <hyperlink r:id="rId115" ref="B56"/>
    <hyperlink r:id="rId116" ref="B57"/>
    <hyperlink r:id="rId117" ref="F57"/>
    <hyperlink r:id="rId118" ref="G57"/>
    <hyperlink r:id="rId119" ref="B59"/>
    <hyperlink r:id="rId120" ref="F59"/>
    <hyperlink r:id="rId121" ref="G59"/>
    <hyperlink r:id="rId122" ref="B60"/>
    <hyperlink r:id="rId123" ref="B61"/>
    <hyperlink r:id="rId124" ref="F61"/>
    <hyperlink r:id="rId125" ref="G61"/>
    <hyperlink r:id="rId126" ref="B62"/>
    <hyperlink r:id="rId127" ref="F62"/>
    <hyperlink r:id="rId128" ref="G62"/>
    <hyperlink r:id="rId129" ref="B63"/>
    <hyperlink r:id="rId130" ref="F63"/>
    <hyperlink r:id="rId131" ref="G63"/>
    <hyperlink r:id="rId132" ref="B64"/>
    <hyperlink r:id="rId133" ref="F64"/>
    <hyperlink r:id="rId134" ref="G64"/>
    <hyperlink r:id="rId135" ref="B65"/>
    <hyperlink r:id="rId136" ref="G65"/>
    <hyperlink r:id="rId137" ref="B68"/>
    <hyperlink r:id="rId138" ref="F68"/>
    <hyperlink r:id="rId139" ref="B69"/>
    <hyperlink r:id="rId140" ref="F69"/>
    <hyperlink r:id="rId141" ref="G69"/>
    <hyperlink r:id="rId142" ref="B70"/>
    <hyperlink r:id="rId143" ref="B71"/>
    <hyperlink r:id="rId144" ref="F71"/>
    <hyperlink r:id="rId145" ref="G71"/>
    <hyperlink r:id="rId146" ref="B72"/>
    <hyperlink r:id="rId147" ref="F72"/>
    <hyperlink r:id="rId148" ref="G72"/>
    <hyperlink r:id="rId149" ref="B73"/>
    <hyperlink r:id="rId150" ref="F73"/>
    <hyperlink r:id="rId151" ref="G73"/>
    <hyperlink r:id="rId152" ref="B74"/>
    <hyperlink r:id="rId153" ref="F74"/>
    <hyperlink r:id="rId154" ref="G74"/>
    <hyperlink r:id="rId155" ref="B75"/>
    <hyperlink r:id="rId156" ref="F75"/>
    <hyperlink r:id="rId157" ref="G75"/>
    <hyperlink r:id="rId158" ref="B76"/>
    <hyperlink r:id="rId159" ref="B77"/>
    <hyperlink r:id="rId160" ref="F77"/>
    <hyperlink r:id="rId161" ref="G77"/>
    <hyperlink r:id="rId162" ref="B78"/>
    <hyperlink r:id="rId163" ref="F78"/>
    <hyperlink r:id="rId164" ref="B79"/>
    <hyperlink r:id="rId165" ref="F79"/>
    <hyperlink r:id="rId166" ref="B80"/>
    <hyperlink r:id="rId167" ref="B81"/>
    <hyperlink r:id="rId168" ref="B82"/>
    <hyperlink r:id="rId169" ref="F82"/>
    <hyperlink r:id="rId170" ref="G82"/>
    <hyperlink r:id="rId171" ref="B83"/>
    <hyperlink r:id="rId172" ref="F83"/>
    <hyperlink r:id="rId173" ref="G83"/>
    <hyperlink r:id="rId174" ref="B84"/>
    <hyperlink r:id="rId175" ref="F84"/>
    <hyperlink r:id="rId176" ref="G84"/>
    <hyperlink r:id="rId177" ref="B86"/>
    <hyperlink r:id="rId178" ref="F86"/>
    <hyperlink r:id="rId179" ref="G86"/>
    <hyperlink r:id="rId180" ref="B87"/>
    <hyperlink r:id="rId181" ref="B88"/>
    <hyperlink r:id="rId182" ref="F88"/>
    <hyperlink r:id="rId183" ref="B89"/>
    <hyperlink r:id="rId184" ref="B90"/>
    <hyperlink r:id="rId185" ref="F90"/>
    <hyperlink r:id="rId186" ref="B91"/>
    <hyperlink r:id="rId187" ref="F91"/>
    <hyperlink r:id="rId188" ref="B92"/>
    <hyperlink r:id="rId189" ref="F92"/>
    <hyperlink r:id="rId190" ref="G92"/>
    <hyperlink r:id="rId191" ref="B93"/>
    <hyperlink r:id="rId192" ref="B94"/>
    <hyperlink r:id="rId193" ref="F94"/>
    <hyperlink r:id="rId194" ref="B95"/>
    <hyperlink r:id="rId195" ref="F95"/>
    <hyperlink r:id="rId196" ref="G95"/>
    <hyperlink r:id="rId197" ref="B96"/>
    <hyperlink r:id="rId198" ref="B97"/>
    <hyperlink r:id="rId199" ref="F97"/>
    <hyperlink r:id="rId200" ref="G97"/>
    <hyperlink r:id="rId201" ref="B98"/>
    <hyperlink r:id="rId202" ref="F98"/>
    <hyperlink r:id="rId203" ref="G98"/>
    <hyperlink r:id="rId204" ref="B99"/>
    <hyperlink r:id="rId205" ref="G99"/>
    <hyperlink r:id="rId206" ref="B100"/>
    <hyperlink r:id="rId207" ref="B101"/>
    <hyperlink r:id="rId208" ref="B102"/>
    <hyperlink r:id="rId209" ref="F102"/>
    <hyperlink r:id="rId210" ref="G102"/>
    <hyperlink r:id="rId211" ref="B103"/>
    <hyperlink r:id="rId212" ref="B104"/>
    <hyperlink r:id="rId213" ref="B105"/>
    <hyperlink r:id="rId214" ref="F105"/>
    <hyperlink r:id="rId215" ref="G105"/>
    <hyperlink r:id="rId216" ref="B106"/>
    <hyperlink r:id="rId217" ref="B107"/>
    <hyperlink r:id="rId218" ref="B108"/>
    <hyperlink r:id="rId219" ref="F108"/>
    <hyperlink r:id="rId220" ref="G108"/>
    <hyperlink r:id="rId221" ref="B109"/>
    <hyperlink r:id="rId222" ref="F109"/>
    <hyperlink r:id="rId223" ref="B111"/>
    <hyperlink r:id="rId224" ref="B112"/>
    <hyperlink r:id="rId225" ref="F112"/>
    <hyperlink r:id="rId226" ref="B113"/>
    <hyperlink r:id="rId227" ref="F113"/>
    <hyperlink r:id="rId228" ref="G113"/>
    <hyperlink r:id="rId229" ref="B114"/>
    <hyperlink r:id="rId230" ref="F114"/>
    <hyperlink r:id="rId231" ref="G114"/>
    <hyperlink r:id="rId232" ref="B115"/>
    <hyperlink r:id="rId233" ref="F115"/>
    <hyperlink r:id="rId234" ref="B116"/>
    <hyperlink r:id="rId235" ref="F116"/>
    <hyperlink r:id="rId236" ref="G116"/>
    <hyperlink r:id="rId237" ref="B117"/>
    <hyperlink r:id="rId238" ref="F117"/>
    <hyperlink r:id="rId239" ref="G117"/>
    <hyperlink r:id="rId240" ref="B118"/>
    <hyperlink r:id="rId241" ref="F118"/>
    <hyperlink r:id="rId242" ref="G118"/>
    <hyperlink r:id="rId243" ref="B119"/>
    <hyperlink r:id="rId244" ref="F119"/>
    <hyperlink r:id="rId245" ref="G119"/>
    <hyperlink r:id="rId246" ref="B120"/>
    <hyperlink r:id="rId247" ref="B121"/>
    <hyperlink r:id="rId248" ref="F121"/>
    <hyperlink r:id="rId249" ref="G121"/>
    <hyperlink r:id="rId250" ref="B122"/>
    <hyperlink r:id="rId251" ref="G122"/>
    <hyperlink r:id="rId252" ref="B123"/>
    <hyperlink r:id="rId253" ref="F123"/>
    <hyperlink r:id="rId254" ref="G123"/>
    <hyperlink r:id="rId255" ref="B124"/>
    <hyperlink r:id="rId256" ref="B127"/>
    <hyperlink r:id="rId257" ref="F127"/>
    <hyperlink r:id="rId258" ref="G127"/>
    <hyperlink r:id="rId259" ref="B128"/>
    <hyperlink r:id="rId260" ref="F128"/>
    <hyperlink r:id="rId261" ref="G128"/>
    <hyperlink r:id="rId262" ref="B129"/>
    <hyperlink r:id="rId263" ref="B130"/>
    <hyperlink r:id="rId264" ref="F130"/>
    <hyperlink r:id="rId265" ref="G130"/>
    <hyperlink r:id="rId266" ref="B131"/>
    <hyperlink r:id="rId267" ref="B133"/>
    <hyperlink r:id="rId268" ref="F133"/>
    <hyperlink r:id="rId269" ref="G133"/>
    <hyperlink r:id="rId270" ref="B134"/>
    <hyperlink r:id="rId271" ref="F134"/>
    <hyperlink r:id="rId272" ref="G134"/>
    <hyperlink r:id="rId273" ref="B136"/>
    <hyperlink r:id="rId274" ref="B137"/>
    <hyperlink r:id="rId275" ref="F137"/>
    <hyperlink r:id="rId276" ref="B138"/>
    <hyperlink r:id="rId277" ref="B139"/>
    <hyperlink r:id="rId278" ref="F139"/>
    <hyperlink r:id="rId279" ref="G139"/>
    <hyperlink r:id="rId280" ref="B140"/>
    <hyperlink r:id="rId281" ref="F140"/>
    <hyperlink r:id="rId282" ref="G140"/>
    <hyperlink r:id="rId283" ref="B141"/>
    <hyperlink r:id="rId284" ref="F141"/>
    <hyperlink r:id="rId285" ref="B142"/>
    <hyperlink r:id="rId286" ref="F142"/>
    <hyperlink r:id="rId287" ref="G142"/>
    <hyperlink r:id="rId288" ref="B143"/>
    <hyperlink r:id="rId289" ref="B144"/>
    <hyperlink r:id="rId290" ref="B145"/>
    <hyperlink r:id="rId291" ref="F145"/>
    <hyperlink r:id="rId292" ref="G145"/>
    <hyperlink r:id="rId293" ref="B146"/>
    <hyperlink r:id="rId294" ref="F146"/>
    <hyperlink r:id="rId295" ref="G146"/>
    <hyperlink r:id="rId296" ref="B147"/>
    <hyperlink r:id="rId297" ref="F147"/>
    <hyperlink r:id="rId298" ref="G147"/>
    <hyperlink r:id="rId299" ref="B148"/>
    <hyperlink r:id="rId300" ref="F148"/>
    <hyperlink r:id="rId301" ref="G148"/>
    <hyperlink r:id="rId302" ref="B149"/>
    <hyperlink r:id="rId303" ref="B150"/>
    <hyperlink r:id="rId304" ref="F150"/>
    <hyperlink r:id="rId305" ref="G150"/>
    <hyperlink r:id="rId306" ref="B151"/>
    <hyperlink r:id="rId307" ref="F151"/>
    <hyperlink r:id="rId308" ref="G151"/>
    <hyperlink r:id="rId309" ref="B152"/>
    <hyperlink r:id="rId310" ref="F152"/>
    <hyperlink r:id="rId311" ref="G152"/>
    <hyperlink r:id="rId312" ref="B154"/>
    <hyperlink r:id="rId313" ref="B155"/>
    <hyperlink r:id="rId314" ref="F155"/>
    <hyperlink r:id="rId315" ref="G155"/>
    <hyperlink r:id="rId316" ref="B156"/>
    <hyperlink r:id="rId317" ref="B158"/>
    <hyperlink r:id="rId318" ref="F158"/>
    <hyperlink r:id="rId319" ref="G158"/>
    <hyperlink r:id="rId320" ref="B159"/>
    <hyperlink r:id="rId321" ref="F159"/>
    <hyperlink r:id="rId322" ref="G159"/>
    <hyperlink r:id="rId323" ref="B160"/>
    <hyperlink r:id="rId324" ref="F160"/>
    <hyperlink r:id="rId325" ref="G160"/>
    <hyperlink r:id="rId326" ref="B162"/>
    <hyperlink r:id="rId327" ref="B163"/>
    <hyperlink r:id="rId328" ref="F163"/>
    <hyperlink r:id="rId329" ref="G163"/>
    <hyperlink r:id="rId330" ref="B164"/>
    <hyperlink r:id="rId331" ref="F164"/>
    <hyperlink r:id="rId332" ref="B165"/>
    <hyperlink r:id="rId333" ref="F165"/>
    <hyperlink r:id="rId334" ref="G165"/>
    <hyperlink r:id="rId335" ref="B166"/>
    <hyperlink r:id="rId336" ref="F166"/>
    <hyperlink r:id="rId337" ref="G166"/>
    <hyperlink r:id="rId338" ref="B167"/>
    <hyperlink r:id="rId339" ref="F167"/>
    <hyperlink r:id="rId340" ref="G167"/>
    <hyperlink r:id="rId341" ref="B168"/>
    <hyperlink r:id="rId342" ref="F168"/>
    <hyperlink r:id="rId343" ref="B171"/>
    <hyperlink r:id="rId344" ref="B172"/>
    <hyperlink r:id="rId345" ref="F172"/>
    <hyperlink r:id="rId346" ref="B174"/>
    <hyperlink r:id="rId347" ref="B175"/>
    <hyperlink r:id="rId348" ref="F175"/>
    <hyperlink r:id="rId349" ref="B176"/>
    <hyperlink r:id="rId350" ref="F176"/>
    <hyperlink r:id="rId351" ref="G176"/>
    <hyperlink r:id="rId352" ref="B177"/>
    <hyperlink r:id="rId353" ref="F177"/>
    <hyperlink r:id="rId354" ref="G177"/>
    <hyperlink r:id="rId355" ref="B178"/>
    <hyperlink r:id="rId356" ref="F178"/>
    <hyperlink r:id="rId357" ref="G178"/>
    <hyperlink r:id="rId358" ref="B179"/>
    <hyperlink r:id="rId359" ref="F179"/>
    <hyperlink r:id="rId360" ref="G179"/>
    <hyperlink r:id="rId361" ref="B180"/>
    <hyperlink r:id="rId362" ref="F180"/>
    <hyperlink r:id="rId363" ref="G180"/>
    <hyperlink r:id="rId364" ref="B18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25"/>
    <col customWidth="1" min="2" max="2" width="19.5"/>
    <col customWidth="1" min="5" max="5" width="19.5"/>
    <col customWidth="1" min="7" max="7" width="5.88"/>
    <col customWidth="1" min="8" max="8" width="3.38"/>
    <col customWidth="1" min="10" max="10" width="8.0"/>
    <col customWidth="1" hidden="1" min="11" max="11" width="9.63"/>
    <col customWidth="1" min="12" max="12" width="11.5"/>
    <col customWidth="1" min="13" max="13" width="8.63"/>
    <col customWidth="1" min="14" max="14" width="6.13"/>
    <col customWidth="1" min="15" max="16" width="8.75"/>
  </cols>
  <sheetData>
    <row r="1">
      <c r="M1" s="80"/>
      <c r="N1" s="80"/>
      <c r="O1" s="80"/>
      <c r="P1" s="80"/>
    </row>
    <row r="2">
      <c r="M2" s="80"/>
      <c r="N2" s="80"/>
      <c r="O2" s="80"/>
      <c r="P2" s="80"/>
    </row>
    <row r="3" hidden="1"/>
    <row r="4">
      <c r="M4" s="80"/>
      <c r="N4" s="80"/>
      <c r="O4" s="80"/>
      <c r="P4" s="80"/>
    </row>
    <row r="5">
      <c r="M5" s="80"/>
      <c r="N5" s="80"/>
      <c r="O5" s="80"/>
      <c r="P5" s="80"/>
    </row>
    <row r="6" hidden="1"/>
    <row r="7">
      <c r="K7" s="80"/>
      <c r="L7" s="80"/>
      <c r="M7" s="80"/>
      <c r="N7" s="80"/>
      <c r="O7" s="80"/>
      <c r="P7" s="80"/>
    </row>
    <row r="8">
      <c r="K8" s="80"/>
      <c r="L8" s="80"/>
      <c r="M8" s="80"/>
      <c r="N8" s="80"/>
      <c r="O8" s="80"/>
      <c r="P8" s="80"/>
    </row>
    <row r="9">
      <c r="K9" s="80"/>
      <c r="L9" s="80"/>
      <c r="M9" s="80"/>
      <c r="N9" s="80"/>
      <c r="O9" s="80"/>
      <c r="P9" s="80"/>
    </row>
    <row r="10">
      <c r="K10" s="80"/>
      <c r="L10" s="80"/>
      <c r="M10" s="80"/>
      <c r="N10" s="80"/>
      <c r="O10" s="80"/>
      <c r="P10" s="80"/>
    </row>
    <row r="11">
      <c r="K11" s="80"/>
      <c r="L11" s="80"/>
      <c r="M11" s="80"/>
      <c r="N11" s="80"/>
      <c r="O11" s="80"/>
      <c r="P11" s="80"/>
    </row>
    <row r="12">
      <c r="K12" s="80"/>
      <c r="L12" s="80"/>
      <c r="M12" s="80"/>
      <c r="N12" s="80"/>
      <c r="O12" s="80"/>
      <c r="P12" s="80"/>
    </row>
    <row r="13">
      <c r="K13" s="80"/>
      <c r="L13" s="80"/>
      <c r="M13" s="80"/>
      <c r="N13" s="80"/>
      <c r="O13" s="80"/>
      <c r="P13" s="80"/>
    </row>
    <row r="14">
      <c r="K14" s="80"/>
      <c r="L14" s="80"/>
      <c r="M14" s="80"/>
      <c r="N14" s="80"/>
      <c r="O14" s="80"/>
      <c r="P14" s="80"/>
    </row>
    <row r="15">
      <c r="K15" s="80"/>
      <c r="L15" s="80"/>
      <c r="M15" s="80"/>
      <c r="N15" s="80"/>
      <c r="O15" s="80"/>
      <c r="P15" s="80"/>
    </row>
    <row r="16">
      <c r="K16" s="80"/>
      <c r="L16" s="80"/>
      <c r="M16" s="80"/>
      <c r="N16" s="80"/>
      <c r="O16" s="80"/>
      <c r="P16" s="80"/>
    </row>
    <row r="17">
      <c r="K17" s="80"/>
      <c r="L17" s="80"/>
      <c r="M17" s="80"/>
      <c r="N17" s="80"/>
      <c r="O17" s="80"/>
      <c r="P17" s="80"/>
    </row>
    <row r="18">
      <c r="K18" s="80"/>
      <c r="L18" s="80"/>
      <c r="M18" s="80"/>
      <c r="N18" s="80"/>
      <c r="O18" s="80"/>
      <c r="P18" s="80"/>
    </row>
    <row r="19">
      <c r="K19" s="80"/>
      <c r="L19" s="80"/>
      <c r="M19" s="80"/>
      <c r="N19" s="80"/>
      <c r="O19" s="80"/>
      <c r="P19" s="80"/>
    </row>
    <row r="20">
      <c r="K20" s="80"/>
      <c r="L20" s="80"/>
      <c r="M20" s="80"/>
      <c r="N20" s="80"/>
      <c r="O20" s="80"/>
      <c r="P20" s="80"/>
    </row>
    <row r="21">
      <c r="K21" s="80"/>
      <c r="L21" s="80"/>
      <c r="M21" s="80"/>
      <c r="N21" s="80"/>
      <c r="O21" s="80"/>
      <c r="P21" s="80"/>
    </row>
    <row r="22">
      <c r="K22" s="80"/>
      <c r="L22" s="80"/>
      <c r="M22" s="80"/>
      <c r="N22" s="80"/>
      <c r="O22" s="80"/>
      <c r="P22" s="80"/>
    </row>
    <row r="23">
      <c r="K23" s="80"/>
      <c r="L23" s="80"/>
      <c r="M23" s="80"/>
      <c r="N23" s="80"/>
      <c r="O23" s="80"/>
      <c r="P23" s="80"/>
    </row>
    <row r="24">
      <c r="K24" s="80"/>
      <c r="L24" s="80"/>
      <c r="M24" s="80"/>
      <c r="N24" s="80"/>
      <c r="O24" s="80"/>
      <c r="P24" s="80"/>
    </row>
    <row r="25">
      <c r="K25" s="80"/>
      <c r="L25" s="80"/>
      <c r="M25" s="80"/>
      <c r="N25" s="80"/>
      <c r="O25" s="80"/>
      <c r="P25" s="80"/>
    </row>
    <row r="26">
      <c r="K26" s="80"/>
      <c r="L26" s="80"/>
      <c r="M26" s="80"/>
      <c r="N26" s="80"/>
      <c r="O26" s="80"/>
      <c r="P26" s="80"/>
    </row>
    <row r="27">
      <c r="K27" s="80"/>
      <c r="L27" s="80"/>
      <c r="M27" s="80"/>
      <c r="N27" s="80"/>
      <c r="O27" s="80"/>
      <c r="P27" s="80"/>
    </row>
    <row r="28">
      <c r="K28" s="80"/>
      <c r="L28" s="80"/>
      <c r="M28" s="80"/>
      <c r="N28" s="80"/>
      <c r="O28" s="80"/>
      <c r="P28" s="80"/>
    </row>
    <row r="29">
      <c r="K29" s="80"/>
      <c r="L29" s="80"/>
      <c r="M29" s="80"/>
      <c r="N29" s="80"/>
      <c r="O29" s="80"/>
      <c r="P29" s="80"/>
    </row>
    <row r="30">
      <c r="K30" s="80"/>
      <c r="L30" s="80"/>
      <c r="M30" s="80"/>
      <c r="N30" s="80"/>
      <c r="O30" s="80"/>
      <c r="P30" s="80"/>
    </row>
    <row r="31">
      <c r="K31" s="80"/>
      <c r="L31" s="80"/>
      <c r="M31" s="80"/>
      <c r="N31" s="80"/>
      <c r="O31" s="80"/>
      <c r="P31" s="80"/>
    </row>
    <row r="32">
      <c r="K32" s="80"/>
      <c r="L32" s="80"/>
      <c r="M32" s="80"/>
      <c r="N32" s="80"/>
      <c r="O32" s="80"/>
      <c r="P32" s="80"/>
    </row>
    <row r="33">
      <c r="K33" s="80"/>
      <c r="L33" s="80"/>
      <c r="M33" s="80"/>
      <c r="N33" s="80"/>
      <c r="O33" s="80"/>
      <c r="P33" s="80"/>
    </row>
    <row r="34">
      <c r="K34" s="80"/>
      <c r="L34" s="80"/>
      <c r="M34" s="80"/>
      <c r="N34" s="80"/>
      <c r="O34" s="80"/>
      <c r="P34" s="80"/>
    </row>
    <row r="35">
      <c r="K35" s="80"/>
      <c r="L35" s="80"/>
      <c r="M35" s="80"/>
      <c r="N35" s="80"/>
      <c r="O35" s="80"/>
      <c r="P35" s="80"/>
    </row>
    <row r="36">
      <c r="K36" s="80"/>
      <c r="L36" s="80"/>
      <c r="M36" s="80"/>
      <c r="N36" s="80"/>
      <c r="O36" s="80"/>
      <c r="P36" s="80"/>
    </row>
    <row r="37">
      <c r="K37" s="80"/>
      <c r="L37" s="80"/>
      <c r="M37" s="80"/>
      <c r="N37" s="80"/>
      <c r="O37" s="80"/>
      <c r="P37" s="80"/>
    </row>
    <row r="38">
      <c r="K38" s="80"/>
      <c r="L38" s="80"/>
      <c r="M38" s="80"/>
      <c r="N38" s="80"/>
      <c r="O38" s="80"/>
      <c r="P38" s="80"/>
    </row>
    <row r="39">
      <c r="K39" s="80"/>
      <c r="L39" s="80"/>
      <c r="M39" s="80"/>
      <c r="N39" s="80"/>
      <c r="O39" s="80"/>
      <c r="P39" s="80"/>
    </row>
    <row r="40">
      <c r="K40" s="80"/>
      <c r="L40" s="80"/>
      <c r="M40" s="80"/>
      <c r="N40" s="80"/>
      <c r="O40" s="80"/>
      <c r="P40" s="80"/>
    </row>
    <row r="41">
      <c r="K41" s="80"/>
      <c r="L41" s="80"/>
      <c r="M41" s="80"/>
      <c r="N41" s="80"/>
      <c r="O41" s="80"/>
      <c r="P41" s="80"/>
    </row>
    <row r="42">
      <c r="K42" s="80"/>
      <c r="L42" s="80"/>
      <c r="M42" s="80"/>
      <c r="N42" s="80"/>
      <c r="O42" s="80"/>
      <c r="P42" s="80"/>
    </row>
    <row r="43">
      <c r="K43" s="80"/>
      <c r="L43" s="80"/>
      <c r="M43" s="80"/>
      <c r="N43" s="80"/>
      <c r="O43" s="80"/>
      <c r="P43" s="80"/>
    </row>
    <row r="44">
      <c r="K44" s="80"/>
      <c r="L44" s="80"/>
      <c r="M44" s="80"/>
      <c r="N44" s="80"/>
      <c r="O44" s="80"/>
      <c r="P44" s="80"/>
    </row>
    <row r="45">
      <c r="K45" s="80"/>
      <c r="L45" s="80"/>
      <c r="M45" s="80"/>
      <c r="N45" s="80"/>
      <c r="O45" s="80"/>
      <c r="P45" s="80"/>
    </row>
    <row r="46">
      <c r="K46" s="80"/>
      <c r="L46" s="80"/>
      <c r="M46" s="80"/>
      <c r="N46" s="80"/>
      <c r="O46" s="80"/>
      <c r="P46" s="80"/>
    </row>
    <row r="47">
      <c r="K47" s="80"/>
      <c r="L47" s="80"/>
      <c r="M47" s="80"/>
      <c r="N47" s="80"/>
      <c r="O47" s="80"/>
      <c r="P47" s="80"/>
    </row>
    <row r="48">
      <c r="K48" s="80"/>
      <c r="L48" s="80"/>
      <c r="M48" s="80"/>
      <c r="N48" s="80"/>
      <c r="O48" s="80"/>
      <c r="P48" s="80"/>
    </row>
    <row r="49">
      <c r="K49" s="80"/>
      <c r="L49" s="80"/>
      <c r="M49" s="80"/>
      <c r="N49" s="80"/>
      <c r="O49" s="80"/>
      <c r="P49" s="80"/>
    </row>
    <row r="50">
      <c r="K50" s="80"/>
      <c r="L50" s="80"/>
      <c r="M50" s="80"/>
      <c r="N50" s="80"/>
      <c r="O50" s="80"/>
      <c r="P50" s="80"/>
    </row>
    <row r="51">
      <c r="K51" s="80"/>
      <c r="L51" s="80"/>
      <c r="M51" s="80"/>
      <c r="N51" s="80"/>
      <c r="O51" s="80"/>
      <c r="P51" s="80"/>
    </row>
    <row r="52">
      <c r="K52" s="80"/>
      <c r="L52" s="80"/>
      <c r="M52" s="80"/>
      <c r="N52" s="80"/>
      <c r="O52" s="80"/>
      <c r="P52" s="80"/>
    </row>
    <row r="53">
      <c r="K53" s="80"/>
      <c r="L53" s="80"/>
      <c r="M53" s="80"/>
      <c r="N53" s="80"/>
      <c r="O53" s="80"/>
      <c r="P53" s="80"/>
    </row>
    <row r="54">
      <c r="K54" s="80"/>
      <c r="L54" s="80"/>
      <c r="M54" s="80"/>
      <c r="N54" s="80"/>
      <c r="O54" s="80"/>
      <c r="P54" s="80"/>
    </row>
    <row r="55">
      <c r="K55" s="80"/>
      <c r="L55" s="80"/>
      <c r="M55" s="80"/>
      <c r="N55" s="80"/>
      <c r="O55" s="80"/>
      <c r="P55" s="80"/>
    </row>
    <row r="56">
      <c r="K56" s="80"/>
      <c r="L56" s="80"/>
      <c r="M56" s="80"/>
      <c r="N56" s="80"/>
      <c r="O56" s="80"/>
      <c r="P56" s="80"/>
    </row>
    <row r="57">
      <c r="K57" s="80"/>
      <c r="L57" s="80"/>
      <c r="M57" s="80"/>
      <c r="N57" s="80"/>
      <c r="O57" s="80"/>
      <c r="P57" s="80"/>
    </row>
    <row r="58">
      <c r="K58" s="80"/>
      <c r="L58" s="80"/>
      <c r="M58" s="80"/>
      <c r="N58" s="80"/>
      <c r="O58" s="80"/>
      <c r="P58" s="80"/>
    </row>
    <row r="59">
      <c r="K59" s="80"/>
      <c r="L59" s="80"/>
      <c r="M59" s="80"/>
      <c r="N59" s="80"/>
      <c r="O59" s="80"/>
      <c r="P59" s="80"/>
    </row>
    <row r="60">
      <c r="K60" s="80"/>
      <c r="L60" s="80"/>
      <c r="M60" s="80"/>
      <c r="N60" s="80"/>
      <c r="O60" s="80"/>
      <c r="P60" s="80"/>
    </row>
    <row r="61">
      <c r="K61" s="80"/>
      <c r="L61" s="80"/>
      <c r="M61" s="80"/>
      <c r="N61" s="80"/>
      <c r="O61" s="80"/>
      <c r="P61" s="80"/>
    </row>
    <row r="62">
      <c r="K62" s="80"/>
      <c r="L62" s="80"/>
      <c r="M62" s="80"/>
      <c r="N62" s="80"/>
      <c r="O62" s="80"/>
      <c r="P62" s="80"/>
    </row>
    <row r="63">
      <c r="K63" s="80"/>
      <c r="L63" s="80"/>
      <c r="M63" s="80"/>
      <c r="N63" s="80"/>
      <c r="O63" s="80"/>
      <c r="P63" s="80"/>
    </row>
    <row r="64">
      <c r="K64" s="80"/>
      <c r="L64" s="80"/>
      <c r="M64" s="80"/>
      <c r="N64" s="80"/>
      <c r="O64" s="80"/>
      <c r="P64" s="80"/>
    </row>
    <row r="65">
      <c r="K65" s="80"/>
      <c r="L65" s="80"/>
      <c r="M65" s="80"/>
      <c r="N65" s="80"/>
      <c r="O65" s="80"/>
      <c r="P65" s="80"/>
    </row>
    <row r="66">
      <c r="K66" s="80"/>
      <c r="L66" s="80"/>
      <c r="M66" s="80"/>
      <c r="N66" s="80"/>
      <c r="O66" s="80"/>
      <c r="P66" s="80"/>
    </row>
    <row r="67">
      <c r="K67" s="80"/>
      <c r="L67" s="80"/>
      <c r="M67" s="80"/>
      <c r="N67" s="80"/>
      <c r="O67" s="80"/>
      <c r="P67" s="80"/>
    </row>
    <row r="68">
      <c r="K68" s="80"/>
      <c r="L68" s="80"/>
      <c r="M68" s="80"/>
      <c r="N68" s="80"/>
      <c r="O68" s="80"/>
      <c r="P68" s="80"/>
    </row>
    <row r="69">
      <c r="K69" s="80"/>
      <c r="L69" s="80"/>
      <c r="M69" s="80"/>
      <c r="N69" s="80"/>
      <c r="O69" s="80"/>
      <c r="P69" s="80"/>
    </row>
    <row r="70">
      <c r="K70" s="80"/>
      <c r="L70" s="80"/>
      <c r="M70" s="80"/>
      <c r="N70" s="80"/>
      <c r="O70" s="80"/>
      <c r="P70" s="80"/>
    </row>
    <row r="71">
      <c r="K71" s="80"/>
      <c r="L71" s="80"/>
      <c r="M71" s="80"/>
      <c r="N71" s="80"/>
      <c r="O71" s="80"/>
      <c r="P71" s="80"/>
    </row>
    <row r="72">
      <c r="K72" s="80"/>
      <c r="L72" s="80"/>
      <c r="M72" s="80"/>
      <c r="N72" s="80"/>
      <c r="O72" s="80"/>
      <c r="P72" s="80"/>
    </row>
    <row r="73">
      <c r="K73" s="80"/>
      <c r="L73" s="80"/>
      <c r="M73" s="80"/>
      <c r="N73" s="80"/>
      <c r="O73" s="80"/>
      <c r="P73" s="80"/>
    </row>
    <row r="74">
      <c r="K74" s="80"/>
      <c r="L74" s="80"/>
      <c r="M74" s="80"/>
      <c r="N74" s="80"/>
      <c r="O74" s="80"/>
      <c r="P74" s="80"/>
    </row>
    <row r="75">
      <c r="K75" s="80"/>
      <c r="L75" s="80"/>
      <c r="M75" s="80"/>
      <c r="N75" s="80"/>
      <c r="O75" s="80"/>
      <c r="P75" s="80"/>
    </row>
    <row r="76">
      <c r="K76" s="80"/>
      <c r="L76" s="80"/>
      <c r="M76" s="80"/>
      <c r="N76" s="80"/>
      <c r="O76" s="80"/>
      <c r="P76" s="80"/>
    </row>
    <row r="77">
      <c r="K77" s="80"/>
      <c r="L77" s="80"/>
      <c r="M77" s="80"/>
      <c r="N77" s="80"/>
      <c r="O77" s="80"/>
      <c r="P77" s="80"/>
    </row>
    <row r="78">
      <c r="K78" s="80"/>
      <c r="L78" s="80"/>
      <c r="M78" s="80"/>
      <c r="N78" s="80"/>
      <c r="O78" s="80"/>
      <c r="P78" s="80"/>
    </row>
    <row r="79">
      <c r="K79" s="80"/>
      <c r="L79" s="80"/>
      <c r="M79" s="80"/>
      <c r="N79" s="80"/>
      <c r="O79" s="80"/>
      <c r="P79" s="80"/>
    </row>
    <row r="80">
      <c r="K80" s="80"/>
      <c r="L80" s="80"/>
      <c r="M80" s="80"/>
      <c r="N80" s="80"/>
      <c r="O80" s="80"/>
      <c r="P80" s="80"/>
    </row>
    <row r="81">
      <c r="K81" s="80"/>
      <c r="L81" s="80"/>
      <c r="M81" s="80"/>
      <c r="N81" s="80"/>
      <c r="O81" s="80"/>
      <c r="P81" s="80"/>
    </row>
    <row r="82">
      <c r="K82" s="80"/>
      <c r="L82" s="80"/>
      <c r="M82" s="80"/>
      <c r="N82" s="80"/>
      <c r="O82" s="80"/>
      <c r="P82" s="80"/>
    </row>
    <row r="83">
      <c r="K83" s="80"/>
      <c r="L83" s="80"/>
      <c r="M83" s="80"/>
      <c r="N83" s="80"/>
      <c r="O83" s="80"/>
      <c r="P83" s="80"/>
    </row>
    <row r="84">
      <c r="K84" s="80"/>
      <c r="L84" s="80"/>
      <c r="M84" s="80"/>
      <c r="N84" s="80"/>
      <c r="O84" s="80"/>
      <c r="P84" s="80"/>
    </row>
    <row r="85">
      <c r="K85" s="80"/>
      <c r="L85" s="80"/>
      <c r="M85" s="80"/>
      <c r="N85" s="80"/>
      <c r="O85" s="80"/>
      <c r="P85" s="80"/>
    </row>
    <row r="86">
      <c r="K86" s="80"/>
      <c r="L86" s="80"/>
      <c r="M86" s="80"/>
      <c r="N86" s="80"/>
      <c r="O86" s="80"/>
      <c r="P86" s="80"/>
    </row>
    <row r="87">
      <c r="K87" s="80"/>
      <c r="L87" s="80"/>
      <c r="M87" s="80"/>
      <c r="N87" s="80"/>
      <c r="O87" s="80"/>
      <c r="P87" s="80"/>
    </row>
    <row r="88">
      <c r="K88" s="80"/>
      <c r="L88" s="80"/>
      <c r="M88" s="80"/>
      <c r="N88" s="80"/>
      <c r="O88" s="80"/>
      <c r="P88" s="80"/>
    </row>
    <row r="89">
      <c r="K89" s="80"/>
      <c r="L89" s="80"/>
      <c r="M89" s="80"/>
      <c r="N89" s="80"/>
      <c r="O89" s="80"/>
      <c r="P89" s="80"/>
    </row>
    <row r="90">
      <c r="K90" s="80"/>
      <c r="L90" s="80"/>
      <c r="M90" s="80"/>
      <c r="N90" s="80"/>
      <c r="O90" s="80"/>
      <c r="P90" s="80"/>
    </row>
    <row r="91">
      <c r="K91" s="80"/>
      <c r="L91" s="80"/>
      <c r="M91" s="80"/>
      <c r="N91" s="80"/>
      <c r="O91" s="80"/>
      <c r="P91" s="80"/>
    </row>
    <row r="92">
      <c r="K92" s="80"/>
      <c r="L92" s="80"/>
      <c r="M92" s="80"/>
      <c r="N92" s="80"/>
      <c r="O92" s="80"/>
      <c r="P92" s="80"/>
    </row>
    <row r="93">
      <c r="K93" s="80"/>
      <c r="L93" s="80"/>
      <c r="M93" s="80"/>
      <c r="N93" s="80"/>
      <c r="O93" s="80"/>
      <c r="P93" s="80"/>
    </row>
    <row r="94">
      <c r="K94" s="80"/>
      <c r="L94" s="80"/>
      <c r="M94" s="80"/>
      <c r="N94" s="80"/>
      <c r="O94" s="80"/>
      <c r="P94" s="80"/>
    </row>
    <row r="95">
      <c r="K95" s="80"/>
      <c r="L95" s="80"/>
      <c r="M95" s="80"/>
      <c r="N95" s="80"/>
      <c r="O95" s="80"/>
      <c r="P95" s="80"/>
    </row>
    <row r="96">
      <c r="K96" s="80"/>
      <c r="L96" s="80"/>
      <c r="M96" s="80"/>
      <c r="N96" s="80"/>
      <c r="O96" s="80"/>
      <c r="P96" s="80"/>
    </row>
    <row r="97">
      <c r="K97" s="80"/>
      <c r="L97" s="80"/>
      <c r="M97" s="80"/>
      <c r="N97" s="80"/>
      <c r="O97" s="80"/>
      <c r="P97" s="80"/>
    </row>
    <row r="98">
      <c r="K98" s="80"/>
      <c r="L98" s="80"/>
      <c r="M98" s="80"/>
      <c r="N98" s="80"/>
      <c r="O98" s="80"/>
      <c r="P98" s="80"/>
    </row>
    <row r="99">
      <c r="K99" s="80"/>
      <c r="L99" s="80"/>
      <c r="M99" s="80"/>
      <c r="N99" s="80"/>
      <c r="O99" s="80"/>
      <c r="P99" s="80"/>
    </row>
    <row r="100">
      <c r="K100" s="80"/>
      <c r="L100" s="80"/>
      <c r="M100" s="80"/>
      <c r="N100" s="80"/>
      <c r="O100" s="80"/>
      <c r="P100" s="80"/>
    </row>
    <row r="101">
      <c r="K101" s="80"/>
      <c r="L101" s="80"/>
      <c r="M101" s="80"/>
      <c r="N101" s="80"/>
      <c r="O101" s="80"/>
      <c r="P101" s="80"/>
    </row>
    <row r="102">
      <c r="K102" s="80"/>
      <c r="L102" s="80"/>
      <c r="M102" s="80"/>
      <c r="N102" s="80"/>
      <c r="O102" s="80"/>
      <c r="P102" s="80"/>
    </row>
    <row r="103">
      <c r="K103" s="80"/>
      <c r="L103" s="80"/>
      <c r="M103" s="80"/>
      <c r="N103" s="80"/>
      <c r="O103" s="80"/>
      <c r="P103" s="80"/>
    </row>
    <row r="104">
      <c r="K104" s="80"/>
      <c r="L104" s="80"/>
      <c r="M104" s="80"/>
      <c r="N104" s="80"/>
      <c r="O104" s="80"/>
      <c r="P104" s="80"/>
    </row>
    <row r="105">
      <c r="K105" s="80"/>
      <c r="L105" s="80"/>
      <c r="M105" s="80"/>
      <c r="N105" s="80"/>
      <c r="O105" s="80"/>
      <c r="P105" s="80"/>
    </row>
    <row r="106">
      <c r="K106" s="80"/>
      <c r="L106" s="80"/>
      <c r="M106" s="80"/>
      <c r="N106" s="80"/>
      <c r="O106" s="80"/>
      <c r="P106" s="80"/>
    </row>
    <row r="107">
      <c r="K107" s="80"/>
      <c r="L107" s="80"/>
      <c r="M107" s="80"/>
      <c r="N107" s="80"/>
      <c r="O107" s="80"/>
      <c r="P107" s="80"/>
    </row>
    <row r="108">
      <c r="K108" s="80"/>
      <c r="L108" s="80"/>
      <c r="M108" s="80"/>
      <c r="N108" s="80"/>
      <c r="O108" s="80"/>
      <c r="P108" s="80"/>
    </row>
    <row r="109">
      <c r="K109" s="80"/>
      <c r="L109" s="80"/>
      <c r="M109" s="80"/>
      <c r="N109" s="80"/>
      <c r="O109" s="80"/>
      <c r="P109" s="80"/>
    </row>
    <row r="110">
      <c r="K110" s="80"/>
      <c r="L110" s="80"/>
      <c r="M110" s="80"/>
      <c r="N110" s="80"/>
      <c r="O110" s="80"/>
      <c r="P110" s="80"/>
    </row>
    <row r="111">
      <c r="K111" s="80"/>
      <c r="L111" s="80"/>
      <c r="M111" s="80"/>
      <c r="N111" s="80"/>
      <c r="O111" s="80"/>
      <c r="P111" s="80"/>
    </row>
    <row r="112">
      <c r="K112" s="80"/>
      <c r="L112" s="80"/>
      <c r="M112" s="80"/>
      <c r="N112" s="80"/>
      <c r="O112" s="80"/>
      <c r="P112" s="80"/>
    </row>
    <row r="113">
      <c r="K113" s="80"/>
      <c r="L113" s="80"/>
      <c r="M113" s="80"/>
      <c r="N113" s="80"/>
      <c r="O113" s="80"/>
      <c r="P113" s="80"/>
    </row>
    <row r="114">
      <c r="K114" s="80"/>
      <c r="L114" s="80"/>
      <c r="M114" s="80"/>
      <c r="N114" s="80"/>
      <c r="O114" s="80"/>
      <c r="P114" s="80"/>
    </row>
    <row r="115">
      <c r="K115" s="80"/>
      <c r="L115" s="80"/>
      <c r="M115" s="80"/>
      <c r="N115" s="80"/>
      <c r="O115" s="80"/>
      <c r="P115" s="80"/>
    </row>
    <row r="116">
      <c r="K116" s="80"/>
      <c r="L116" s="80"/>
      <c r="M116" s="80"/>
      <c r="N116" s="80"/>
      <c r="O116" s="80"/>
      <c r="P116" s="80"/>
    </row>
    <row r="117">
      <c r="K117" s="80"/>
      <c r="L117" s="80"/>
      <c r="M117" s="80"/>
      <c r="N117" s="80"/>
      <c r="O117" s="80"/>
      <c r="P117" s="80"/>
    </row>
    <row r="118">
      <c r="K118" s="80"/>
      <c r="L118" s="80"/>
      <c r="M118" s="80"/>
      <c r="N118" s="80"/>
      <c r="O118" s="80"/>
      <c r="P118" s="80"/>
    </row>
    <row r="119">
      <c r="K119" s="80"/>
      <c r="L119" s="80"/>
      <c r="M119" s="80"/>
      <c r="N119" s="80"/>
      <c r="O119" s="80"/>
      <c r="P119" s="80"/>
    </row>
    <row r="120">
      <c r="K120" s="80"/>
      <c r="L120" s="80"/>
      <c r="M120" s="80"/>
      <c r="N120" s="80"/>
      <c r="O120" s="80"/>
      <c r="P120" s="80"/>
    </row>
    <row r="121">
      <c r="K121" s="80"/>
      <c r="L121" s="80"/>
      <c r="M121" s="80"/>
      <c r="N121" s="80"/>
      <c r="O121" s="80"/>
      <c r="P121" s="80"/>
    </row>
    <row r="122">
      <c r="K122" s="80"/>
      <c r="L122" s="80"/>
      <c r="M122" s="80"/>
      <c r="N122" s="80"/>
      <c r="O122" s="80"/>
      <c r="P122" s="80"/>
    </row>
    <row r="123">
      <c r="K123" s="80"/>
      <c r="L123" s="80"/>
      <c r="M123" s="80"/>
      <c r="N123" s="80"/>
      <c r="O123" s="80"/>
      <c r="P123" s="80"/>
    </row>
    <row r="124">
      <c r="K124" s="80"/>
      <c r="L124" s="80"/>
      <c r="M124" s="80"/>
      <c r="N124" s="80"/>
      <c r="O124" s="80"/>
      <c r="P124" s="80"/>
    </row>
    <row r="125">
      <c r="K125" s="80"/>
      <c r="L125" s="80"/>
      <c r="M125" s="80"/>
      <c r="N125" s="80"/>
      <c r="O125" s="80"/>
      <c r="P125" s="80"/>
    </row>
    <row r="126">
      <c r="K126" s="80"/>
      <c r="L126" s="80"/>
      <c r="M126" s="80"/>
      <c r="N126" s="80"/>
      <c r="O126" s="80"/>
      <c r="P126" s="80"/>
    </row>
    <row r="127">
      <c r="K127" s="80"/>
      <c r="L127" s="80"/>
      <c r="M127" s="80"/>
      <c r="N127" s="80"/>
      <c r="O127" s="80"/>
      <c r="P127" s="80"/>
    </row>
    <row r="128">
      <c r="K128" s="80"/>
      <c r="L128" s="80"/>
      <c r="M128" s="80"/>
      <c r="N128" s="80"/>
      <c r="O128" s="80"/>
      <c r="P128" s="80"/>
    </row>
    <row r="129">
      <c r="K129" s="80"/>
      <c r="L129" s="80"/>
      <c r="M129" s="80"/>
      <c r="N129" s="80"/>
      <c r="O129" s="80"/>
      <c r="P129" s="80"/>
    </row>
    <row r="130">
      <c r="K130" s="80"/>
      <c r="L130" s="80"/>
      <c r="M130" s="80"/>
      <c r="N130" s="80"/>
      <c r="O130" s="80"/>
      <c r="P130" s="80"/>
    </row>
    <row r="131">
      <c r="K131" s="80"/>
      <c r="L131" s="80"/>
      <c r="M131" s="80"/>
      <c r="N131" s="80"/>
      <c r="O131" s="80"/>
      <c r="P131" s="80"/>
    </row>
    <row r="132">
      <c r="K132" s="80"/>
      <c r="L132" s="80"/>
      <c r="M132" s="80"/>
      <c r="N132" s="80"/>
      <c r="O132" s="80"/>
      <c r="P132" s="80"/>
    </row>
    <row r="133">
      <c r="K133" s="80"/>
      <c r="L133" s="80"/>
      <c r="M133" s="80"/>
      <c r="N133" s="80"/>
      <c r="O133" s="80"/>
      <c r="P133" s="80"/>
    </row>
    <row r="134">
      <c r="K134" s="80"/>
      <c r="L134" s="80"/>
      <c r="M134" s="80"/>
      <c r="N134" s="80"/>
      <c r="O134" s="80"/>
      <c r="P134" s="80"/>
    </row>
    <row r="135">
      <c r="K135" s="80"/>
      <c r="L135" s="80"/>
      <c r="M135" s="80"/>
      <c r="N135" s="80"/>
      <c r="O135" s="80"/>
      <c r="P135" s="80"/>
    </row>
    <row r="136">
      <c r="K136" s="80"/>
      <c r="L136" s="80"/>
      <c r="M136" s="80"/>
      <c r="N136" s="80"/>
      <c r="O136" s="80"/>
      <c r="P136" s="80"/>
    </row>
    <row r="137">
      <c r="K137" s="80"/>
      <c r="L137" s="80"/>
      <c r="M137" s="80"/>
      <c r="N137" s="80"/>
      <c r="O137" s="80"/>
      <c r="P137" s="80"/>
    </row>
    <row r="138">
      <c r="K138" s="80"/>
      <c r="L138" s="80"/>
      <c r="M138" s="80"/>
      <c r="N138" s="80"/>
      <c r="O138" s="80"/>
      <c r="P138" s="80"/>
    </row>
    <row r="139">
      <c r="K139" s="80"/>
      <c r="L139" s="80"/>
      <c r="M139" s="80"/>
      <c r="N139" s="80"/>
      <c r="O139" s="80"/>
      <c r="P139" s="80"/>
    </row>
    <row r="140">
      <c r="K140" s="80"/>
      <c r="L140" s="80"/>
      <c r="M140" s="80"/>
      <c r="N140" s="80"/>
      <c r="O140" s="80"/>
      <c r="P140" s="80"/>
    </row>
    <row r="141">
      <c r="K141" s="80"/>
      <c r="L141" s="80"/>
      <c r="M141" s="80"/>
      <c r="N141" s="80"/>
      <c r="O141" s="80"/>
      <c r="P141" s="80"/>
    </row>
    <row r="142">
      <c r="K142" s="80"/>
      <c r="L142" s="80"/>
      <c r="M142" s="80"/>
      <c r="N142" s="80"/>
      <c r="O142" s="80"/>
      <c r="P142" s="80"/>
    </row>
    <row r="143">
      <c r="K143" s="80"/>
      <c r="L143" s="80"/>
      <c r="M143" s="80"/>
      <c r="N143" s="80"/>
      <c r="O143" s="80"/>
      <c r="P143" s="80"/>
    </row>
    <row r="144">
      <c r="K144" s="80"/>
      <c r="L144" s="80"/>
      <c r="M144" s="80"/>
      <c r="N144" s="80"/>
      <c r="O144" s="80"/>
      <c r="P144" s="80"/>
    </row>
    <row r="145">
      <c r="K145" s="80"/>
      <c r="L145" s="80"/>
      <c r="M145" s="80"/>
      <c r="N145" s="80"/>
      <c r="O145" s="80"/>
      <c r="P145" s="80"/>
    </row>
    <row r="146">
      <c r="K146" s="80"/>
      <c r="L146" s="80"/>
      <c r="M146" s="80"/>
      <c r="N146" s="80"/>
      <c r="O146" s="80"/>
      <c r="P146" s="80"/>
    </row>
    <row r="147">
      <c r="K147" s="80"/>
      <c r="L147" s="80"/>
      <c r="M147" s="80"/>
      <c r="N147" s="80"/>
      <c r="O147" s="80"/>
      <c r="P147" s="80"/>
    </row>
    <row r="148">
      <c r="K148" s="80"/>
      <c r="L148" s="80"/>
      <c r="M148" s="80"/>
      <c r="N148" s="80"/>
      <c r="O148" s="80"/>
      <c r="P148" s="80"/>
    </row>
    <row r="149">
      <c r="K149" s="80"/>
      <c r="L149" s="80"/>
      <c r="M149" s="80"/>
      <c r="N149" s="80"/>
      <c r="O149" s="80"/>
      <c r="P149" s="80"/>
    </row>
    <row r="150">
      <c r="K150" s="80"/>
      <c r="L150" s="80"/>
      <c r="M150" s="80"/>
      <c r="N150" s="80"/>
      <c r="O150" s="80"/>
      <c r="P150" s="80"/>
    </row>
    <row r="151">
      <c r="K151" s="80"/>
      <c r="L151" s="80"/>
      <c r="M151" s="80"/>
      <c r="N151" s="80"/>
      <c r="O151" s="80"/>
      <c r="P151" s="80"/>
    </row>
    <row r="152">
      <c r="K152" s="80"/>
      <c r="L152" s="80"/>
      <c r="M152" s="80"/>
      <c r="N152" s="80"/>
      <c r="O152" s="80"/>
      <c r="P152" s="80"/>
    </row>
    <row r="153">
      <c r="K153" s="80"/>
      <c r="L153" s="80"/>
      <c r="M153" s="80"/>
      <c r="N153" s="80"/>
      <c r="O153" s="80"/>
      <c r="P153" s="80"/>
    </row>
    <row r="154">
      <c r="K154" s="80"/>
      <c r="L154" s="80"/>
      <c r="M154" s="80"/>
      <c r="N154" s="80"/>
      <c r="O154" s="80"/>
      <c r="P154" s="80"/>
    </row>
    <row r="155">
      <c r="K155" s="80"/>
      <c r="L155" s="80"/>
      <c r="M155" s="80"/>
      <c r="N155" s="80"/>
      <c r="O155" s="80"/>
      <c r="P155" s="80"/>
    </row>
    <row r="156">
      <c r="K156" s="80"/>
      <c r="L156" s="80"/>
      <c r="M156" s="80"/>
      <c r="N156" s="80"/>
      <c r="O156" s="80"/>
      <c r="P156" s="80"/>
    </row>
    <row r="157">
      <c r="K157" s="80"/>
      <c r="L157" s="80"/>
      <c r="M157" s="80"/>
      <c r="N157" s="80"/>
      <c r="O157" s="80"/>
      <c r="P157" s="80"/>
    </row>
    <row r="158">
      <c r="K158" s="80"/>
      <c r="L158" s="80"/>
      <c r="M158" s="80"/>
      <c r="N158" s="80"/>
      <c r="O158" s="80"/>
      <c r="P158" s="80"/>
    </row>
    <row r="159">
      <c r="K159" s="80"/>
      <c r="L159" s="80"/>
      <c r="M159" s="80"/>
      <c r="N159" s="80"/>
      <c r="O159" s="80"/>
      <c r="P159" s="80"/>
    </row>
    <row r="160">
      <c r="K160" s="80"/>
      <c r="L160" s="80"/>
      <c r="M160" s="80"/>
      <c r="N160" s="80"/>
      <c r="O160" s="80"/>
      <c r="P160" s="80"/>
    </row>
    <row r="161">
      <c r="K161" s="80"/>
      <c r="L161" s="80"/>
      <c r="M161" s="80"/>
      <c r="N161" s="80"/>
      <c r="O161" s="80"/>
      <c r="P161" s="80"/>
    </row>
    <row r="162">
      <c r="K162" s="80"/>
      <c r="L162" s="80"/>
      <c r="M162" s="80"/>
      <c r="N162" s="80"/>
      <c r="O162" s="80"/>
      <c r="P162" s="80"/>
    </row>
    <row r="163">
      <c r="K163" s="80"/>
      <c r="L163" s="80"/>
      <c r="M163" s="80"/>
      <c r="N163" s="80"/>
      <c r="O163" s="80"/>
      <c r="P163" s="80"/>
    </row>
    <row r="164">
      <c r="K164" s="80"/>
      <c r="L164" s="80"/>
      <c r="M164" s="80"/>
      <c r="N164" s="80"/>
      <c r="O164" s="80"/>
      <c r="P164" s="80"/>
    </row>
    <row r="165">
      <c r="K165" s="80"/>
      <c r="L165" s="80"/>
      <c r="M165" s="80"/>
      <c r="N165" s="80"/>
      <c r="O165" s="80"/>
      <c r="P165" s="80"/>
    </row>
    <row r="166">
      <c r="K166" s="80"/>
      <c r="L166" s="80"/>
      <c r="M166" s="80"/>
      <c r="N166" s="80"/>
      <c r="O166" s="80"/>
      <c r="P166" s="80"/>
    </row>
    <row r="167">
      <c r="K167" s="80"/>
      <c r="L167" s="80"/>
      <c r="M167" s="80"/>
      <c r="N167" s="80"/>
      <c r="O167" s="80"/>
      <c r="P167" s="80"/>
    </row>
    <row r="168">
      <c r="K168" s="80"/>
      <c r="L168" s="80"/>
      <c r="M168" s="80"/>
      <c r="N168" s="80"/>
      <c r="O168" s="80"/>
      <c r="P168" s="80"/>
    </row>
    <row r="169">
      <c r="K169" s="80"/>
      <c r="L169" s="80"/>
      <c r="M169" s="80"/>
      <c r="N169" s="80"/>
      <c r="O169" s="80"/>
      <c r="P169" s="80"/>
    </row>
    <row r="170">
      <c r="K170" s="80"/>
      <c r="L170" s="80"/>
      <c r="M170" s="80"/>
      <c r="N170" s="80"/>
      <c r="O170" s="80"/>
      <c r="P170" s="80"/>
    </row>
    <row r="171">
      <c r="K171" s="80"/>
      <c r="L171" s="80"/>
      <c r="M171" s="80"/>
      <c r="N171" s="80"/>
      <c r="O171" s="80"/>
      <c r="P171" s="80"/>
    </row>
    <row r="172">
      <c r="K172" s="80"/>
      <c r="L172" s="80"/>
      <c r="M172" s="80"/>
      <c r="N172" s="80"/>
      <c r="O172" s="80"/>
      <c r="P172" s="80"/>
    </row>
    <row r="173">
      <c r="K173" s="80"/>
      <c r="L173" s="80"/>
      <c r="M173" s="80"/>
      <c r="N173" s="80"/>
      <c r="O173" s="80"/>
      <c r="P173" s="80"/>
    </row>
    <row r="174">
      <c r="K174" s="80"/>
      <c r="L174" s="80"/>
      <c r="M174" s="80"/>
      <c r="N174" s="80"/>
      <c r="O174" s="80"/>
      <c r="P174" s="80"/>
    </row>
    <row r="175">
      <c r="K175" s="80"/>
      <c r="L175" s="80"/>
      <c r="M175" s="80"/>
      <c r="N175" s="80"/>
      <c r="O175" s="80"/>
      <c r="P175" s="80"/>
    </row>
    <row r="176">
      <c r="K176" s="80"/>
      <c r="L176" s="80"/>
      <c r="M176" s="80"/>
      <c r="N176" s="80"/>
      <c r="O176" s="80"/>
      <c r="P176" s="80"/>
    </row>
    <row r="177">
      <c r="K177" s="80"/>
      <c r="L177" s="80"/>
      <c r="M177" s="80"/>
      <c r="N177" s="80"/>
      <c r="O177" s="80"/>
      <c r="P177" s="80"/>
    </row>
    <row r="178">
      <c r="K178" s="80"/>
      <c r="L178" s="80"/>
      <c r="M178" s="80"/>
      <c r="N178" s="80"/>
      <c r="O178" s="80"/>
      <c r="P178" s="80"/>
    </row>
    <row r="179">
      <c r="K179" s="80"/>
      <c r="L179" s="80"/>
      <c r="M179" s="80"/>
      <c r="N179" s="80"/>
      <c r="O179" s="80"/>
      <c r="P179" s="80"/>
    </row>
    <row r="180">
      <c r="K180" s="80"/>
      <c r="L180" s="80"/>
      <c r="M180" s="80"/>
      <c r="N180" s="80"/>
      <c r="O180" s="80"/>
      <c r="P180" s="80"/>
    </row>
    <row r="181">
      <c r="K181" s="80"/>
      <c r="L181" s="80"/>
      <c r="M181" s="80"/>
      <c r="N181" s="80"/>
      <c r="O181" s="80"/>
      <c r="P181" s="80"/>
    </row>
    <row r="182">
      <c r="K182" s="80"/>
      <c r="L182" s="80"/>
      <c r="M182" s="80"/>
      <c r="N182" s="80"/>
      <c r="O182" s="80"/>
      <c r="P182" s="80"/>
    </row>
    <row r="183">
      <c r="K183" s="80"/>
      <c r="L183" s="80"/>
      <c r="M183" s="80"/>
      <c r="N183" s="80"/>
      <c r="O183" s="80"/>
      <c r="P183" s="80"/>
    </row>
    <row r="184">
      <c r="K184" s="80"/>
      <c r="L184" s="80"/>
      <c r="M184" s="80"/>
      <c r="N184" s="80"/>
      <c r="O184" s="80"/>
      <c r="P184" s="80"/>
    </row>
    <row r="185">
      <c r="K185" s="80"/>
      <c r="L185" s="80"/>
      <c r="M185" s="80"/>
      <c r="N185" s="80"/>
      <c r="O185" s="80"/>
      <c r="P185" s="80"/>
    </row>
    <row r="186">
      <c r="K186" s="80"/>
      <c r="L186" s="80"/>
      <c r="M186" s="80"/>
      <c r="N186" s="80"/>
      <c r="O186" s="80"/>
      <c r="P186" s="80"/>
    </row>
    <row r="187">
      <c r="K187" s="80"/>
      <c r="L187" s="80"/>
      <c r="M187" s="80"/>
      <c r="N187" s="80"/>
      <c r="O187" s="80"/>
      <c r="P187" s="80"/>
    </row>
    <row r="188">
      <c r="K188" s="80"/>
      <c r="L188" s="80"/>
      <c r="M188" s="80"/>
      <c r="N188" s="80"/>
      <c r="O188" s="80"/>
      <c r="P188" s="80"/>
    </row>
    <row r="189">
      <c r="K189" s="80"/>
      <c r="L189" s="80"/>
      <c r="M189" s="80"/>
      <c r="N189" s="80"/>
      <c r="O189" s="80"/>
      <c r="P189" s="80"/>
    </row>
    <row r="190">
      <c r="K190" s="80"/>
      <c r="L190" s="80"/>
      <c r="M190" s="80"/>
      <c r="N190" s="80"/>
      <c r="O190" s="80"/>
      <c r="P190" s="80"/>
    </row>
    <row r="191">
      <c r="K191" s="80"/>
      <c r="L191" s="80"/>
      <c r="M191" s="80"/>
      <c r="N191" s="80"/>
      <c r="O191" s="80"/>
      <c r="P191" s="80"/>
    </row>
    <row r="192">
      <c r="K192" s="80"/>
      <c r="L192" s="80"/>
      <c r="M192" s="80"/>
      <c r="N192" s="80"/>
      <c r="O192" s="80"/>
      <c r="P192" s="80"/>
    </row>
    <row r="193">
      <c r="K193" s="80"/>
      <c r="L193" s="80"/>
      <c r="M193" s="80"/>
      <c r="N193" s="80"/>
      <c r="O193" s="80"/>
      <c r="P193" s="80"/>
    </row>
    <row r="194">
      <c r="K194" s="80"/>
      <c r="L194" s="80"/>
      <c r="M194" s="80"/>
      <c r="N194" s="80"/>
      <c r="O194" s="80"/>
      <c r="P194" s="80"/>
    </row>
    <row r="195">
      <c r="K195" s="80"/>
      <c r="L195" s="80"/>
      <c r="M195" s="80"/>
      <c r="N195" s="80"/>
      <c r="O195" s="80"/>
      <c r="P195" s="80"/>
    </row>
    <row r="196">
      <c r="K196" s="80"/>
      <c r="L196" s="80"/>
      <c r="M196" s="80"/>
      <c r="N196" s="80"/>
      <c r="O196" s="80"/>
      <c r="P196" s="80"/>
    </row>
    <row r="197">
      <c r="K197" s="80"/>
      <c r="L197" s="80"/>
      <c r="M197" s="80"/>
      <c r="N197" s="80"/>
      <c r="O197" s="80"/>
      <c r="P197" s="80"/>
    </row>
    <row r="198">
      <c r="K198" s="80"/>
      <c r="L198" s="80"/>
      <c r="M198" s="80"/>
      <c r="N198" s="80"/>
      <c r="O198" s="80"/>
      <c r="P198" s="80"/>
    </row>
    <row r="199">
      <c r="K199" s="80"/>
      <c r="L199" s="80"/>
      <c r="M199" s="80"/>
      <c r="N199" s="80"/>
      <c r="O199" s="80"/>
      <c r="P199" s="80"/>
    </row>
    <row r="200">
      <c r="K200" s="80"/>
      <c r="L200" s="80"/>
      <c r="M200" s="80"/>
      <c r="N200" s="80"/>
      <c r="O200" s="80"/>
      <c r="P200" s="80"/>
    </row>
    <row r="201">
      <c r="K201" s="80"/>
      <c r="L201" s="80"/>
      <c r="M201" s="80"/>
      <c r="N201" s="80"/>
      <c r="O201" s="80"/>
      <c r="P201" s="80"/>
    </row>
    <row r="202">
      <c r="K202" s="80"/>
      <c r="L202" s="80"/>
      <c r="M202" s="80"/>
      <c r="N202" s="80"/>
      <c r="O202" s="80"/>
      <c r="P202" s="80"/>
    </row>
    <row r="203">
      <c r="K203" s="80"/>
      <c r="L203" s="80"/>
      <c r="M203" s="80"/>
      <c r="N203" s="80"/>
      <c r="O203" s="80"/>
      <c r="P203" s="80"/>
    </row>
    <row r="204">
      <c r="K204" s="80"/>
      <c r="L204" s="80"/>
      <c r="M204" s="80"/>
      <c r="N204" s="80"/>
      <c r="O204" s="80"/>
      <c r="P204" s="80"/>
    </row>
    <row r="205">
      <c r="K205" s="80"/>
      <c r="L205" s="80"/>
      <c r="M205" s="80"/>
      <c r="N205" s="80"/>
      <c r="O205" s="80"/>
      <c r="P205" s="80"/>
    </row>
    <row r="206">
      <c r="K206" s="80"/>
      <c r="L206" s="80"/>
      <c r="M206" s="80"/>
      <c r="N206" s="80"/>
      <c r="O206" s="80"/>
      <c r="P206" s="80"/>
    </row>
    <row r="207">
      <c r="K207" s="80"/>
      <c r="L207" s="80"/>
      <c r="M207" s="80"/>
      <c r="N207" s="80"/>
      <c r="O207" s="80"/>
      <c r="P207" s="80"/>
    </row>
    <row r="208">
      <c r="K208" s="80"/>
      <c r="L208" s="80"/>
      <c r="M208" s="80"/>
      <c r="N208" s="80"/>
      <c r="O208" s="80"/>
      <c r="P208" s="80"/>
    </row>
    <row r="209">
      <c r="K209" s="80"/>
      <c r="L209" s="80"/>
      <c r="M209" s="80"/>
      <c r="N209" s="80"/>
      <c r="O209" s="80"/>
      <c r="P209" s="80"/>
    </row>
    <row r="210">
      <c r="K210" s="80"/>
      <c r="L210" s="80"/>
      <c r="M210" s="80"/>
      <c r="N210" s="80"/>
      <c r="O210" s="80"/>
      <c r="P210" s="80"/>
    </row>
    <row r="211">
      <c r="K211" s="80"/>
      <c r="L211" s="80"/>
      <c r="M211" s="80"/>
      <c r="N211" s="80"/>
      <c r="O211" s="80"/>
      <c r="P211" s="80"/>
    </row>
    <row r="212">
      <c r="K212" s="80"/>
      <c r="L212" s="80"/>
      <c r="M212" s="80"/>
      <c r="N212" s="80"/>
      <c r="O212" s="80"/>
      <c r="P212" s="80"/>
    </row>
    <row r="213">
      <c r="K213" s="80"/>
      <c r="L213" s="80"/>
      <c r="M213" s="80"/>
      <c r="N213" s="80"/>
      <c r="O213" s="80"/>
      <c r="P213" s="80"/>
    </row>
    <row r="214">
      <c r="K214" s="80"/>
      <c r="L214" s="80"/>
      <c r="M214" s="80"/>
      <c r="N214" s="80"/>
      <c r="O214" s="80"/>
      <c r="P214" s="80"/>
    </row>
    <row r="215">
      <c r="K215" s="80"/>
      <c r="L215" s="80"/>
      <c r="M215" s="80"/>
      <c r="N215" s="80"/>
      <c r="O215" s="80"/>
      <c r="P215" s="80"/>
    </row>
    <row r="216">
      <c r="K216" s="80"/>
      <c r="L216" s="80"/>
      <c r="M216" s="80"/>
      <c r="N216" s="80"/>
      <c r="O216" s="80"/>
      <c r="P216" s="80"/>
    </row>
    <row r="217">
      <c r="K217" s="80"/>
      <c r="L217" s="80"/>
      <c r="M217" s="80"/>
      <c r="N217" s="80"/>
      <c r="O217" s="80"/>
      <c r="P217" s="80"/>
    </row>
    <row r="218">
      <c r="K218" s="80"/>
      <c r="L218" s="80"/>
      <c r="M218" s="80"/>
      <c r="N218" s="80"/>
      <c r="O218" s="80"/>
      <c r="P218" s="80"/>
    </row>
    <row r="219">
      <c r="K219" s="80"/>
      <c r="L219" s="80"/>
      <c r="M219" s="80"/>
      <c r="N219" s="80"/>
      <c r="O219" s="80"/>
      <c r="P219" s="80"/>
    </row>
    <row r="220">
      <c r="K220" s="80"/>
      <c r="L220" s="80"/>
      <c r="M220" s="80"/>
      <c r="N220" s="80"/>
      <c r="O220" s="80"/>
      <c r="P220" s="80"/>
    </row>
    <row r="221">
      <c r="K221" s="80"/>
      <c r="L221" s="80"/>
      <c r="M221" s="80"/>
      <c r="N221" s="80"/>
      <c r="O221" s="80"/>
      <c r="P221" s="80"/>
    </row>
    <row r="222">
      <c r="K222" s="80"/>
      <c r="L222" s="80"/>
      <c r="M222" s="80"/>
      <c r="N222" s="80"/>
      <c r="O222" s="80"/>
      <c r="P222" s="80"/>
    </row>
    <row r="223">
      <c r="K223" s="80"/>
      <c r="L223" s="80"/>
      <c r="M223" s="80"/>
      <c r="N223" s="80"/>
      <c r="O223" s="80"/>
      <c r="P223" s="80"/>
    </row>
    <row r="224">
      <c r="K224" s="80"/>
      <c r="L224" s="80"/>
      <c r="M224" s="80"/>
      <c r="N224" s="80"/>
      <c r="O224" s="80"/>
      <c r="P224" s="80"/>
    </row>
    <row r="225">
      <c r="K225" s="80"/>
      <c r="L225" s="80"/>
      <c r="M225" s="80"/>
      <c r="N225" s="80"/>
      <c r="O225" s="80"/>
      <c r="P225" s="80"/>
    </row>
    <row r="226">
      <c r="K226" s="80"/>
      <c r="L226" s="80"/>
      <c r="M226" s="80"/>
      <c r="N226" s="80"/>
      <c r="O226" s="80"/>
      <c r="P226" s="80"/>
    </row>
    <row r="227">
      <c r="K227" s="80"/>
      <c r="L227" s="80"/>
      <c r="M227" s="80"/>
      <c r="N227" s="80"/>
      <c r="O227" s="80"/>
      <c r="P227" s="80"/>
    </row>
    <row r="228">
      <c r="K228" s="80"/>
      <c r="L228" s="80"/>
      <c r="M228" s="80"/>
      <c r="N228" s="80"/>
      <c r="O228" s="80"/>
      <c r="P228" s="80"/>
    </row>
    <row r="229">
      <c r="K229" s="80"/>
      <c r="L229" s="80"/>
      <c r="M229" s="80"/>
      <c r="N229" s="80"/>
      <c r="O229" s="80"/>
      <c r="P229" s="80"/>
    </row>
    <row r="230">
      <c r="K230" s="80"/>
      <c r="L230" s="80"/>
      <c r="M230" s="80"/>
      <c r="N230" s="80"/>
      <c r="O230" s="80"/>
      <c r="P230" s="80"/>
    </row>
    <row r="231">
      <c r="K231" s="80"/>
      <c r="L231" s="80"/>
      <c r="M231" s="80"/>
      <c r="N231" s="80"/>
      <c r="O231" s="80"/>
      <c r="P231" s="80"/>
    </row>
    <row r="232">
      <c r="K232" s="80"/>
      <c r="L232" s="80"/>
      <c r="M232" s="80"/>
      <c r="N232" s="80"/>
      <c r="O232" s="80"/>
      <c r="P232" s="80"/>
    </row>
    <row r="233">
      <c r="K233" s="80"/>
      <c r="L233" s="80"/>
      <c r="M233" s="80"/>
      <c r="N233" s="80"/>
      <c r="O233" s="80"/>
      <c r="P233" s="80"/>
    </row>
    <row r="234">
      <c r="K234" s="80"/>
      <c r="L234" s="80"/>
      <c r="M234" s="80"/>
      <c r="N234" s="80"/>
      <c r="O234" s="80"/>
      <c r="P234" s="80"/>
    </row>
    <row r="235">
      <c r="K235" s="80"/>
      <c r="L235" s="80"/>
      <c r="M235" s="80"/>
      <c r="N235" s="80"/>
      <c r="O235" s="80"/>
      <c r="P235" s="80"/>
    </row>
    <row r="236">
      <c r="K236" s="80"/>
      <c r="L236" s="80"/>
      <c r="M236" s="80"/>
      <c r="N236" s="80"/>
      <c r="O236" s="80"/>
      <c r="P236" s="80"/>
    </row>
    <row r="237">
      <c r="K237" s="80"/>
      <c r="L237" s="80"/>
      <c r="M237" s="80"/>
      <c r="N237" s="80"/>
      <c r="O237" s="80"/>
      <c r="P237" s="80"/>
    </row>
    <row r="238">
      <c r="K238" s="80"/>
      <c r="L238" s="80"/>
      <c r="M238" s="80"/>
      <c r="N238" s="80"/>
      <c r="O238" s="80"/>
      <c r="P238" s="80"/>
    </row>
    <row r="239">
      <c r="K239" s="80"/>
      <c r="L239" s="80"/>
      <c r="M239" s="80"/>
      <c r="N239" s="80"/>
      <c r="O239" s="80"/>
      <c r="P239" s="80"/>
    </row>
    <row r="240">
      <c r="K240" s="80"/>
      <c r="L240" s="80"/>
      <c r="M240" s="80"/>
      <c r="N240" s="80"/>
      <c r="O240" s="80"/>
      <c r="P240" s="80"/>
    </row>
    <row r="241">
      <c r="K241" s="80"/>
      <c r="L241" s="80"/>
      <c r="M241" s="80"/>
      <c r="N241" s="80"/>
      <c r="O241" s="80"/>
      <c r="P241" s="80"/>
    </row>
    <row r="242">
      <c r="K242" s="80"/>
      <c r="L242" s="80"/>
      <c r="M242" s="80"/>
      <c r="N242" s="80"/>
      <c r="O242" s="80"/>
      <c r="P242" s="80"/>
    </row>
    <row r="243">
      <c r="K243" s="80"/>
      <c r="L243" s="80"/>
      <c r="M243" s="80"/>
      <c r="N243" s="80"/>
      <c r="O243" s="80"/>
      <c r="P243" s="80"/>
    </row>
    <row r="244">
      <c r="K244" s="80"/>
      <c r="L244" s="80"/>
      <c r="M244" s="80"/>
      <c r="N244" s="80"/>
      <c r="O244" s="80"/>
      <c r="P244" s="80"/>
    </row>
    <row r="245">
      <c r="K245" s="80"/>
      <c r="L245" s="80"/>
      <c r="M245" s="80"/>
      <c r="N245" s="80"/>
      <c r="O245" s="80"/>
      <c r="P245" s="80"/>
    </row>
    <row r="246">
      <c r="K246" s="80"/>
      <c r="L246" s="80"/>
      <c r="M246" s="80"/>
      <c r="N246" s="80"/>
      <c r="O246" s="80"/>
      <c r="P246" s="80"/>
    </row>
    <row r="247">
      <c r="K247" s="80"/>
      <c r="L247" s="80"/>
      <c r="M247" s="80"/>
      <c r="N247" s="80"/>
      <c r="O247" s="80"/>
      <c r="P247" s="80"/>
    </row>
    <row r="248">
      <c r="K248" s="80"/>
      <c r="L248" s="80"/>
      <c r="M248" s="80"/>
      <c r="N248" s="80"/>
      <c r="O248" s="80"/>
      <c r="P248" s="80"/>
    </row>
    <row r="249">
      <c r="K249" s="80"/>
      <c r="L249" s="80"/>
      <c r="M249" s="80"/>
      <c r="N249" s="80"/>
      <c r="O249" s="80"/>
      <c r="P249" s="80"/>
    </row>
    <row r="250">
      <c r="K250" s="80"/>
      <c r="L250" s="80"/>
      <c r="M250" s="80"/>
      <c r="N250" s="80"/>
      <c r="O250" s="80"/>
      <c r="P250" s="80"/>
    </row>
    <row r="251">
      <c r="K251" s="80"/>
      <c r="L251" s="80"/>
      <c r="M251" s="80"/>
      <c r="N251" s="80"/>
      <c r="O251" s="80"/>
      <c r="P251" s="80"/>
    </row>
    <row r="252">
      <c r="K252" s="80"/>
      <c r="L252" s="80"/>
      <c r="M252" s="80"/>
      <c r="N252" s="80"/>
      <c r="O252" s="80"/>
      <c r="P252" s="80"/>
    </row>
    <row r="253">
      <c r="K253" s="80"/>
      <c r="L253" s="80"/>
      <c r="M253" s="80"/>
      <c r="N253" s="80"/>
      <c r="O253" s="80"/>
      <c r="P253" s="80"/>
    </row>
    <row r="254">
      <c r="K254" s="80"/>
      <c r="L254" s="80"/>
      <c r="M254" s="80"/>
      <c r="N254" s="80"/>
      <c r="O254" s="80"/>
      <c r="P254" s="80"/>
    </row>
    <row r="255">
      <c r="K255" s="80"/>
      <c r="L255" s="80"/>
      <c r="M255" s="80"/>
      <c r="N255" s="80"/>
      <c r="O255" s="80"/>
      <c r="P255" s="80"/>
    </row>
    <row r="256">
      <c r="K256" s="80"/>
      <c r="L256" s="80"/>
      <c r="M256" s="80"/>
      <c r="N256" s="80"/>
      <c r="O256" s="80"/>
      <c r="P256" s="80"/>
    </row>
    <row r="257">
      <c r="K257" s="80"/>
      <c r="L257" s="80"/>
      <c r="M257" s="80"/>
      <c r="N257" s="80"/>
      <c r="O257" s="80"/>
      <c r="P257" s="80"/>
    </row>
    <row r="258">
      <c r="K258" s="80"/>
      <c r="L258" s="80"/>
      <c r="M258" s="80"/>
      <c r="N258" s="80"/>
      <c r="O258" s="80"/>
      <c r="P258" s="80"/>
    </row>
    <row r="259">
      <c r="K259" s="80"/>
      <c r="L259" s="80"/>
      <c r="M259" s="80"/>
      <c r="N259" s="80"/>
      <c r="O259" s="80"/>
      <c r="P259" s="80"/>
    </row>
    <row r="260">
      <c r="K260" s="80"/>
      <c r="L260" s="80"/>
      <c r="M260" s="80"/>
      <c r="N260" s="80"/>
      <c r="O260" s="80"/>
      <c r="P260" s="80"/>
    </row>
    <row r="261">
      <c r="K261" s="80"/>
      <c r="L261" s="80"/>
      <c r="M261" s="80"/>
      <c r="N261" s="80"/>
      <c r="O261" s="80"/>
      <c r="P261" s="80"/>
    </row>
    <row r="262">
      <c r="K262" s="80"/>
      <c r="L262" s="80"/>
      <c r="M262" s="80"/>
      <c r="N262" s="80"/>
      <c r="O262" s="80"/>
      <c r="P262" s="80"/>
    </row>
    <row r="263">
      <c r="K263" s="80"/>
      <c r="L263" s="80"/>
      <c r="M263" s="80"/>
      <c r="N263" s="80"/>
      <c r="O263" s="80"/>
      <c r="P263" s="80"/>
    </row>
    <row r="264">
      <c r="K264" s="80"/>
      <c r="L264" s="80"/>
      <c r="M264" s="80"/>
      <c r="N264" s="80"/>
      <c r="O264" s="80"/>
      <c r="P264" s="80"/>
    </row>
    <row r="265">
      <c r="K265" s="80"/>
      <c r="L265" s="80"/>
      <c r="M265" s="80"/>
      <c r="N265" s="80"/>
      <c r="O265" s="80"/>
      <c r="P265" s="80"/>
    </row>
    <row r="266">
      <c r="K266" s="80"/>
      <c r="L266" s="80"/>
      <c r="M266" s="80"/>
      <c r="N266" s="80"/>
      <c r="O266" s="80"/>
      <c r="P266" s="80"/>
    </row>
    <row r="267">
      <c r="K267" s="80"/>
      <c r="L267" s="80"/>
      <c r="M267" s="80"/>
      <c r="N267" s="80"/>
      <c r="O267" s="80"/>
      <c r="P267" s="80"/>
    </row>
    <row r="268">
      <c r="K268" s="80"/>
      <c r="L268" s="80"/>
      <c r="M268" s="80"/>
      <c r="N268" s="80"/>
      <c r="O268" s="80"/>
      <c r="P268" s="80"/>
    </row>
    <row r="269">
      <c r="K269" s="80"/>
      <c r="L269" s="80"/>
      <c r="M269" s="80"/>
      <c r="N269" s="80"/>
      <c r="O269" s="80"/>
      <c r="P269" s="80"/>
    </row>
    <row r="270">
      <c r="K270" s="80"/>
      <c r="L270" s="80"/>
      <c r="M270" s="80"/>
      <c r="N270" s="80"/>
      <c r="O270" s="80"/>
      <c r="P270" s="80"/>
    </row>
    <row r="271">
      <c r="K271" s="80"/>
      <c r="L271" s="80"/>
      <c r="M271" s="80"/>
      <c r="N271" s="80"/>
      <c r="O271" s="80"/>
      <c r="P271" s="80"/>
    </row>
    <row r="272">
      <c r="K272" s="80"/>
      <c r="L272" s="80"/>
      <c r="M272" s="80"/>
      <c r="N272" s="80"/>
      <c r="O272" s="80"/>
      <c r="P272" s="80"/>
    </row>
    <row r="273">
      <c r="K273" s="80"/>
      <c r="L273" s="80"/>
      <c r="M273" s="80"/>
      <c r="N273" s="80"/>
      <c r="O273" s="80"/>
      <c r="P273" s="80"/>
    </row>
    <row r="274">
      <c r="K274" s="80"/>
      <c r="L274" s="80"/>
      <c r="M274" s="80"/>
      <c r="N274" s="80"/>
      <c r="O274" s="80"/>
      <c r="P274" s="80"/>
    </row>
    <row r="275">
      <c r="K275" s="80"/>
      <c r="L275" s="80"/>
      <c r="M275" s="80"/>
      <c r="N275" s="80"/>
      <c r="O275" s="80"/>
      <c r="P275" s="80"/>
    </row>
    <row r="276">
      <c r="K276" s="80"/>
      <c r="L276" s="80"/>
      <c r="M276" s="80"/>
      <c r="N276" s="80"/>
      <c r="O276" s="80"/>
      <c r="P276" s="80"/>
    </row>
    <row r="277">
      <c r="K277" s="80"/>
      <c r="L277" s="80"/>
      <c r="M277" s="80"/>
      <c r="N277" s="80"/>
      <c r="O277" s="80"/>
      <c r="P277" s="80"/>
    </row>
    <row r="278">
      <c r="K278" s="80"/>
      <c r="L278" s="80"/>
      <c r="M278" s="80"/>
      <c r="N278" s="80"/>
      <c r="O278" s="80"/>
      <c r="P278" s="80"/>
    </row>
    <row r="279">
      <c r="K279" s="80"/>
      <c r="L279" s="80"/>
      <c r="M279" s="80"/>
      <c r="N279" s="80"/>
      <c r="O279" s="80"/>
      <c r="P279" s="80"/>
    </row>
    <row r="280">
      <c r="K280" s="80"/>
      <c r="L280" s="80"/>
      <c r="M280" s="80"/>
      <c r="N280" s="80"/>
      <c r="O280" s="80"/>
      <c r="P280" s="80"/>
    </row>
    <row r="281">
      <c r="K281" s="80"/>
      <c r="L281" s="80"/>
      <c r="M281" s="80"/>
      <c r="N281" s="80"/>
      <c r="O281" s="80"/>
      <c r="P281" s="80"/>
    </row>
    <row r="282">
      <c r="K282" s="80"/>
      <c r="L282" s="80"/>
      <c r="M282" s="80"/>
      <c r="N282" s="80"/>
      <c r="O282" s="80"/>
      <c r="P282" s="80"/>
    </row>
    <row r="283">
      <c r="K283" s="80"/>
      <c r="L283" s="80"/>
      <c r="M283" s="80"/>
      <c r="N283" s="80"/>
      <c r="O283" s="80"/>
      <c r="P283" s="80"/>
    </row>
    <row r="284">
      <c r="K284" s="80"/>
      <c r="L284" s="80"/>
      <c r="M284" s="80"/>
      <c r="N284" s="80"/>
      <c r="O284" s="80"/>
      <c r="P284" s="80"/>
    </row>
    <row r="285">
      <c r="K285" s="80"/>
      <c r="L285" s="80"/>
      <c r="M285" s="80"/>
      <c r="N285" s="80"/>
      <c r="O285" s="80"/>
      <c r="P285" s="80"/>
    </row>
    <row r="286">
      <c r="K286" s="80"/>
      <c r="L286" s="80"/>
      <c r="M286" s="80"/>
      <c r="N286" s="80"/>
      <c r="O286" s="80"/>
      <c r="P286" s="80"/>
    </row>
    <row r="287">
      <c r="K287" s="80"/>
      <c r="L287" s="80"/>
      <c r="M287" s="80"/>
      <c r="N287" s="80"/>
      <c r="O287" s="80"/>
      <c r="P287" s="80"/>
    </row>
    <row r="288">
      <c r="K288" s="80"/>
      <c r="L288" s="80"/>
      <c r="M288" s="80"/>
      <c r="N288" s="80"/>
      <c r="O288" s="80"/>
      <c r="P288" s="80"/>
    </row>
    <row r="289">
      <c r="K289" s="80"/>
      <c r="L289" s="80"/>
      <c r="M289" s="80"/>
      <c r="N289" s="80"/>
      <c r="O289" s="80"/>
      <c r="P289" s="80"/>
    </row>
    <row r="290">
      <c r="K290" s="80"/>
      <c r="L290" s="80"/>
      <c r="M290" s="80"/>
      <c r="N290" s="80"/>
      <c r="O290" s="80"/>
      <c r="P290" s="80"/>
    </row>
    <row r="291">
      <c r="K291" s="80"/>
      <c r="L291" s="80"/>
      <c r="M291" s="80"/>
      <c r="N291" s="80"/>
      <c r="O291" s="80"/>
      <c r="P291" s="80"/>
    </row>
    <row r="292">
      <c r="K292" s="80"/>
      <c r="L292" s="80"/>
      <c r="M292" s="80"/>
      <c r="N292" s="80"/>
      <c r="O292" s="80"/>
      <c r="P292" s="80"/>
    </row>
    <row r="293">
      <c r="K293" s="80"/>
      <c r="L293" s="80"/>
      <c r="M293" s="80"/>
      <c r="N293" s="80"/>
      <c r="O293" s="80"/>
      <c r="P293" s="80"/>
    </row>
    <row r="294">
      <c r="K294" s="80"/>
      <c r="L294" s="80"/>
      <c r="M294" s="80"/>
      <c r="N294" s="80"/>
      <c r="O294" s="80"/>
      <c r="P294" s="80"/>
    </row>
    <row r="295">
      <c r="K295" s="80"/>
      <c r="L295" s="80"/>
      <c r="M295" s="80"/>
      <c r="N295" s="80"/>
      <c r="O295" s="80"/>
      <c r="P295" s="80"/>
    </row>
    <row r="296">
      <c r="K296" s="80"/>
      <c r="L296" s="80"/>
      <c r="M296" s="80"/>
      <c r="N296" s="80"/>
      <c r="O296" s="80"/>
      <c r="P296" s="80"/>
    </row>
    <row r="297">
      <c r="K297" s="80"/>
      <c r="L297" s="80"/>
      <c r="M297" s="80"/>
      <c r="N297" s="80"/>
      <c r="O297" s="80"/>
      <c r="P297" s="80"/>
    </row>
    <row r="298">
      <c r="K298" s="80"/>
      <c r="L298" s="80"/>
      <c r="M298" s="80"/>
      <c r="N298" s="80"/>
      <c r="O298" s="80"/>
      <c r="P298" s="80"/>
    </row>
    <row r="299">
      <c r="K299" s="80"/>
      <c r="L299" s="80"/>
      <c r="M299" s="80"/>
      <c r="N299" s="80"/>
      <c r="O299" s="80"/>
      <c r="P299" s="80"/>
    </row>
    <row r="300">
      <c r="K300" s="80"/>
      <c r="L300" s="80"/>
      <c r="M300" s="80"/>
      <c r="N300" s="80"/>
      <c r="O300" s="80"/>
      <c r="P300" s="80"/>
    </row>
    <row r="301">
      <c r="K301" s="80"/>
      <c r="L301" s="80"/>
      <c r="M301" s="80"/>
      <c r="N301" s="80"/>
      <c r="O301" s="80"/>
      <c r="P301" s="80"/>
    </row>
    <row r="302">
      <c r="K302" s="80"/>
      <c r="L302" s="80"/>
      <c r="M302" s="80"/>
      <c r="N302" s="80"/>
      <c r="O302" s="80"/>
      <c r="P302" s="80"/>
    </row>
    <row r="303">
      <c r="K303" s="80"/>
      <c r="L303" s="80"/>
      <c r="M303" s="80"/>
      <c r="N303" s="80"/>
      <c r="O303" s="80"/>
      <c r="P303" s="80"/>
    </row>
    <row r="304">
      <c r="K304" s="80"/>
      <c r="L304" s="80"/>
      <c r="M304" s="80"/>
      <c r="N304" s="80"/>
      <c r="O304" s="80"/>
      <c r="P304" s="80"/>
    </row>
    <row r="305">
      <c r="K305" s="80"/>
      <c r="L305" s="80"/>
      <c r="M305" s="80"/>
      <c r="N305" s="80"/>
      <c r="O305" s="80"/>
      <c r="P305" s="80"/>
    </row>
    <row r="306">
      <c r="K306" s="80"/>
      <c r="L306" s="80"/>
      <c r="M306" s="80"/>
      <c r="N306" s="80"/>
      <c r="O306" s="80"/>
      <c r="P306" s="80"/>
    </row>
    <row r="307">
      <c r="K307" s="80"/>
      <c r="L307" s="80"/>
      <c r="M307" s="80"/>
      <c r="N307" s="80"/>
      <c r="O307" s="80"/>
      <c r="P307" s="80"/>
    </row>
    <row r="308">
      <c r="K308" s="80"/>
      <c r="L308" s="80"/>
      <c r="M308" s="80"/>
      <c r="N308" s="80"/>
      <c r="O308" s="80"/>
      <c r="P308" s="80"/>
    </row>
    <row r="309">
      <c r="K309" s="80"/>
      <c r="L309" s="80"/>
      <c r="M309" s="80"/>
      <c r="N309" s="80"/>
      <c r="O309" s="80"/>
      <c r="P309" s="80"/>
    </row>
    <row r="310">
      <c r="K310" s="80"/>
      <c r="L310" s="80"/>
      <c r="M310" s="80"/>
      <c r="N310" s="80"/>
      <c r="O310" s="80"/>
      <c r="P310" s="80"/>
    </row>
    <row r="311">
      <c r="K311" s="80"/>
      <c r="L311" s="80"/>
      <c r="M311" s="80"/>
      <c r="N311" s="80"/>
      <c r="O311" s="80"/>
      <c r="P311" s="80"/>
    </row>
    <row r="312">
      <c r="K312" s="80"/>
      <c r="L312" s="80"/>
      <c r="M312" s="80"/>
      <c r="N312" s="80"/>
      <c r="O312" s="80"/>
      <c r="P312" s="80"/>
    </row>
    <row r="313">
      <c r="K313" s="80"/>
      <c r="L313" s="80"/>
      <c r="M313" s="80"/>
      <c r="N313" s="80"/>
      <c r="O313" s="80"/>
      <c r="P313" s="80"/>
    </row>
    <row r="314">
      <c r="K314" s="80"/>
      <c r="L314" s="80"/>
      <c r="M314" s="80"/>
      <c r="N314" s="80"/>
      <c r="O314" s="80"/>
      <c r="P314" s="80"/>
    </row>
    <row r="315">
      <c r="K315" s="80"/>
      <c r="L315" s="80"/>
      <c r="M315" s="80"/>
      <c r="N315" s="80"/>
      <c r="O315" s="80"/>
      <c r="P315" s="80"/>
    </row>
    <row r="316">
      <c r="K316" s="80"/>
      <c r="L316" s="80"/>
      <c r="M316" s="80"/>
      <c r="N316" s="80"/>
      <c r="O316" s="80"/>
      <c r="P316" s="80"/>
    </row>
    <row r="317">
      <c r="K317" s="80"/>
      <c r="L317" s="80"/>
      <c r="M317" s="80"/>
      <c r="N317" s="80"/>
      <c r="O317" s="80"/>
      <c r="P317" s="80"/>
    </row>
    <row r="318">
      <c r="K318" s="80"/>
      <c r="L318" s="80"/>
      <c r="M318" s="80"/>
      <c r="N318" s="80"/>
      <c r="O318" s="80"/>
      <c r="P318" s="80"/>
    </row>
    <row r="319">
      <c r="K319" s="80"/>
      <c r="L319" s="80"/>
      <c r="M319" s="80"/>
      <c r="N319" s="80"/>
      <c r="O319" s="80"/>
      <c r="P319" s="80"/>
    </row>
    <row r="320">
      <c r="K320" s="80"/>
      <c r="L320" s="80"/>
      <c r="M320" s="80"/>
      <c r="N320" s="80"/>
      <c r="O320" s="80"/>
      <c r="P320" s="80"/>
    </row>
    <row r="321">
      <c r="K321" s="80"/>
      <c r="L321" s="80"/>
      <c r="M321" s="80"/>
      <c r="N321" s="80"/>
      <c r="O321" s="80"/>
      <c r="P321" s="80"/>
    </row>
    <row r="322">
      <c r="K322" s="80"/>
      <c r="L322" s="80"/>
      <c r="M322" s="80"/>
      <c r="N322" s="80"/>
      <c r="O322" s="80"/>
      <c r="P322" s="80"/>
    </row>
    <row r="323">
      <c r="K323" s="80"/>
      <c r="L323" s="80"/>
      <c r="M323" s="80"/>
      <c r="N323" s="80"/>
      <c r="O323" s="80"/>
      <c r="P323" s="80"/>
    </row>
    <row r="324">
      <c r="K324" s="80"/>
      <c r="L324" s="80"/>
      <c r="M324" s="80"/>
      <c r="N324" s="80"/>
      <c r="O324" s="80"/>
      <c r="P324" s="80"/>
    </row>
    <row r="325">
      <c r="K325" s="80"/>
      <c r="L325" s="80"/>
      <c r="M325" s="80"/>
      <c r="N325" s="80"/>
      <c r="O325" s="80"/>
      <c r="P325" s="80"/>
    </row>
    <row r="326">
      <c r="K326" s="80"/>
      <c r="L326" s="80"/>
      <c r="M326" s="80"/>
      <c r="N326" s="80"/>
      <c r="O326" s="80"/>
      <c r="P326" s="80"/>
    </row>
    <row r="327">
      <c r="K327" s="80"/>
      <c r="L327" s="80"/>
      <c r="M327" s="80"/>
      <c r="N327" s="80"/>
      <c r="O327" s="80"/>
      <c r="P327" s="80"/>
    </row>
    <row r="328">
      <c r="K328" s="80"/>
      <c r="L328" s="80"/>
      <c r="M328" s="80"/>
      <c r="N328" s="80"/>
      <c r="O328" s="80"/>
      <c r="P328" s="80"/>
    </row>
    <row r="329">
      <c r="K329" s="80"/>
      <c r="L329" s="80"/>
      <c r="M329" s="80"/>
      <c r="N329" s="80"/>
      <c r="O329" s="80"/>
      <c r="P329" s="80"/>
    </row>
    <row r="330">
      <c r="K330" s="80"/>
      <c r="L330" s="80"/>
      <c r="M330" s="80"/>
      <c r="N330" s="80"/>
      <c r="O330" s="80"/>
      <c r="P330" s="80"/>
    </row>
    <row r="331">
      <c r="K331" s="80"/>
      <c r="L331" s="80"/>
      <c r="M331" s="80"/>
      <c r="N331" s="80"/>
      <c r="O331" s="80"/>
      <c r="P331" s="80"/>
    </row>
    <row r="332">
      <c r="K332" s="80"/>
      <c r="L332" s="80"/>
      <c r="M332" s="80"/>
      <c r="N332" s="80"/>
      <c r="O332" s="80"/>
      <c r="P332" s="80"/>
    </row>
    <row r="333">
      <c r="K333" s="80"/>
      <c r="L333" s="80"/>
      <c r="M333" s="80"/>
      <c r="N333" s="80"/>
      <c r="O333" s="80"/>
      <c r="P333" s="80"/>
    </row>
    <row r="334">
      <c r="K334" s="80"/>
      <c r="L334" s="80"/>
      <c r="M334" s="80"/>
      <c r="N334" s="80"/>
      <c r="O334" s="80"/>
      <c r="P334" s="80"/>
    </row>
    <row r="335">
      <c r="K335" s="80"/>
      <c r="L335" s="80"/>
      <c r="M335" s="80"/>
      <c r="N335" s="80"/>
      <c r="O335" s="80"/>
      <c r="P335" s="80"/>
    </row>
    <row r="336">
      <c r="K336" s="80"/>
      <c r="L336" s="80"/>
      <c r="M336" s="80"/>
      <c r="N336" s="80"/>
      <c r="O336" s="80"/>
      <c r="P336" s="80"/>
    </row>
    <row r="337">
      <c r="K337" s="80"/>
      <c r="L337" s="80"/>
      <c r="M337" s="80"/>
      <c r="N337" s="80"/>
      <c r="O337" s="80"/>
      <c r="P337" s="80"/>
    </row>
    <row r="338">
      <c r="K338" s="80"/>
      <c r="L338" s="80"/>
      <c r="M338" s="80"/>
      <c r="N338" s="80"/>
      <c r="O338" s="80"/>
      <c r="P338" s="80"/>
    </row>
    <row r="339">
      <c r="K339" s="80"/>
      <c r="L339" s="80"/>
      <c r="M339" s="80"/>
      <c r="N339" s="80"/>
      <c r="O339" s="80"/>
      <c r="P339" s="80"/>
    </row>
    <row r="340">
      <c r="K340" s="80"/>
      <c r="L340" s="80"/>
      <c r="M340" s="80"/>
      <c r="N340" s="80"/>
      <c r="O340" s="80"/>
      <c r="P340" s="80"/>
    </row>
    <row r="341">
      <c r="K341" s="80"/>
      <c r="L341" s="80"/>
      <c r="M341" s="80"/>
      <c r="N341" s="80"/>
      <c r="O341" s="80"/>
      <c r="P341" s="80"/>
    </row>
    <row r="342">
      <c r="K342" s="80"/>
      <c r="L342" s="80"/>
      <c r="M342" s="80"/>
      <c r="N342" s="80"/>
      <c r="O342" s="80"/>
      <c r="P342" s="80"/>
    </row>
    <row r="343">
      <c r="K343" s="80"/>
      <c r="L343" s="80"/>
      <c r="M343" s="80"/>
      <c r="N343" s="80"/>
      <c r="O343" s="80"/>
      <c r="P343" s="80"/>
    </row>
    <row r="344">
      <c r="K344" s="80"/>
      <c r="L344" s="80"/>
      <c r="M344" s="80"/>
      <c r="N344" s="80"/>
      <c r="O344" s="80"/>
      <c r="P344" s="80"/>
    </row>
    <row r="345">
      <c r="K345" s="80"/>
      <c r="L345" s="80"/>
      <c r="M345" s="80"/>
      <c r="N345" s="80"/>
      <c r="O345" s="80"/>
      <c r="P345" s="80"/>
    </row>
    <row r="346">
      <c r="K346" s="80"/>
      <c r="L346" s="80"/>
      <c r="M346" s="80"/>
      <c r="N346" s="80"/>
      <c r="O346" s="80"/>
      <c r="P346" s="80"/>
    </row>
    <row r="347">
      <c r="K347" s="80"/>
      <c r="L347" s="80"/>
      <c r="M347" s="80"/>
      <c r="N347" s="80"/>
      <c r="O347" s="80"/>
      <c r="P347" s="80"/>
    </row>
    <row r="348">
      <c r="K348" s="80"/>
      <c r="L348" s="80"/>
      <c r="M348" s="80"/>
      <c r="N348" s="80"/>
      <c r="O348" s="80"/>
      <c r="P348" s="80"/>
    </row>
    <row r="349">
      <c r="K349" s="80"/>
      <c r="L349" s="80"/>
      <c r="M349" s="80"/>
      <c r="N349" s="80"/>
      <c r="O349" s="80"/>
      <c r="P349" s="80"/>
    </row>
    <row r="350">
      <c r="K350" s="80"/>
      <c r="L350" s="80"/>
      <c r="M350" s="80"/>
      <c r="N350" s="80"/>
      <c r="O350" s="80"/>
      <c r="P350" s="80"/>
    </row>
    <row r="351">
      <c r="K351" s="80"/>
      <c r="L351" s="80"/>
      <c r="M351" s="80"/>
      <c r="N351" s="80"/>
      <c r="O351" s="80"/>
      <c r="P351" s="80"/>
    </row>
    <row r="352">
      <c r="K352" s="80"/>
      <c r="L352" s="80"/>
      <c r="M352" s="80"/>
      <c r="N352" s="80"/>
      <c r="O352" s="80"/>
      <c r="P352" s="80"/>
    </row>
    <row r="353">
      <c r="K353" s="80"/>
      <c r="L353" s="80"/>
      <c r="M353" s="80"/>
      <c r="N353" s="80"/>
      <c r="O353" s="80"/>
      <c r="P353" s="80"/>
    </row>
    <row r="354">
      <c r="K354" s="80"/>
      <c r="L354" s="80"/>
      <c r="M354" s="80"/>
      <c r="N354" s="80"/>
      <c r="O354" s="80"/>
      <c r="P354" s="80"/>
    </row>
    <row r="355">
      <c r="K355" s="80"/>
      <c r="L355" s="80"/>
      <c r="M355" s="80"/>
      <c r="N355" s="80"/>
      <c r="O355" s="80"/>
      <c r="P355" s="80"/>
    </row>
    <row r="356">
      <c r="K356" s="80"/>
      <c r="L356" s="80"/>
      <c r="M356" s="80"/>
      <c r="N356" s="80"/>
      <c r="O356" s="80"/>
      <c r="P356" s="80"/>
    </row>
    <row r="357">
      <c r="K357" s="80"/>
      <c r="L357" s="80"/>
      <c r="M357" s="80"/>
      <c r="N357" s="80"/>
      <c r="O357" s="80"/>
      <c r="P357" s="80"/>
    </row>
    <row r="358">
      <c r="K358" s="80"/>
      <c r="L358" s="80"/>
      <c r="M358" s="80"/>
      <c r="N358" s="80"/>
      <c r="O358" s="80"/>
      <c r="P358" s="80"/>
    </row>
    <row r="359">
      <c r="K359" s="80"/>
      <c r="L359" s="80"/>
      <c r="M359" s="80"/>
      <c r="N359" s="80"/>
      <c r="O359" s="80"/>
      <c r="P359" s="80"/>
    </row>
    <row r="360">
      <c r="K360" s="80"/>
      <c r="L360" s="80"/>
      <c r="M360" s="80"/>
      <c r="N360" s="80"/>
      <c r="O360" s="80"/>
      <c r="P360" s="80"/>
    </row>
    <row r="361">
      <c r="K361" s="80"/>
      <c r="L361" s="80"/>
      <c r="M361" s="80"/>
      <c r="N361" s="80"/>
      <c r="O361" s="80"/>
      <c r="P361" s="80"/>
    </row>
    <row r="362">
      <c r="K362" s="80"/>
      <c r="L362" s="80"/>
      <c r="M362" s="80"/>
      <c r="N362" s="80"/>
      <c r="O362" s="80"/>
      <c r="P362" s="80"/>
    </row>
    <row r="363">
      <c r="K363" s="80"/>
      <c r="L363" s="80"/>
      <c r="M363" s="80"/>
      <c r="N363" s="80"/>
      <c r="O363" s="80"/>
      <c r="P363" s="80"/>
    </row>
    <row r="364">
      <c r="K364" s="80"/>
      <c r="L364" s="80"/>
      <c r="M364" s="80"/>
      <c r="N364" s="80"/>
      <c r="O364" s="80"/>
      <c r="P364" s="80"/>
    </row>
    <row r="365">
      <c r="K365" s="80"/>
      <c r="L365" s="80"/>
      <c r="M365" s="80"/>
      <c r="N365" s="80"/>
      <c r="O365" s="80"/>
      <c r="P365" s="80"/>
    </row>
    <row r="366">
      <c r="K366" s="80"/>
      <c r="L366" s="80"/>
      <c r="M366" s="80"/>
      <c r="N366" s="80"/>
      <c r="O366" s="80"/>
      <c r="P366" s="80"/>
    </row>
    <row r="367">
      <c r="K367" s="80"/>
      <c r="L367" s="80"/>
      <c r="M367" s="80"/>
      <c r="N367" s="80"/>
      <c r="O367" s="80"/>
      <c r="P367" s="80"/>
    </row>
    <row r="368">
      <c r="K368" s="80"/>
      <c r="L368" s="80"/>
      <c r="M368" s="80"/>
      <c r="N368" s="80"/>
      <c r="O368" s="80"/>
      <c r="P368" s="80"/>
    </row>
    <row r="369">
      <c r="K369" s="80"/>
      <c r="L369" s="80"/>
      <c r="M369" s="80"/>
      <c r="N369" s="80"/>
      <c r="O369" s="80"/>
      <c r="P369" s="80"/>
    </row>
    <row r="370">
      <c r="K370" s="80"/>
      <c r="L370" s="80"/>
      <c r="M370" s="80"/>
      <c r="N370" s="80"/>
      <c r="O370" s="80"/>
      <c r="P370" s="80"/>
    </row>
    <row r="371">
      <c r="K371" s="80"/>
      <c r="L371" s="80"/>
      <c r="M371" s="80"/>
      <c r="N371" s="80"/>
      <c r="O371" s="80"/>
      <c r="P371" s="80"/>
    </row>
    <row r="372">
      <c r="K372" s="80"/>
      <c r="L372" s="80"/>
      <c r="M372" s="80"/>
      <c r="N372" s="80"/>
      <c r="O372" s="80"/>
      <c r="P372" s="80"/>
    </row>
    <row r="373">
      <c r="K373" s="80"/>
      <c r="L373" s="80"/>
      <c r="M373" s="80"/>
      <c r="N373" s="80"/>
      <c r="O373" s="80"/>
      <c r="P373" s="80"/>
    </row>
    <row r="374">
      <c r="K374" s="80"/>
      <c r="L374" s="80"/>
      <c r="M374" s="80"/>
      <c r="N374" s="80"/>
      <c r="O374" s="80"/>
      <c r="P374" s="80"/>
    </row>
    <row r="375">
      <c r="K375" s="80"/>
      <c r="L375" s="80"/>
      <c r="M375" s="80"/>
      <c r="N375" s="80"/>
      <c r="O375" s="80"/>
      <c r="P375" s="80"/>
    </row>
    <row r="376">
      <c r="K376" s="80"/>
      <c r="L376" s="80"/>
      <c r="M376" s="80"/>
      <c r="N376" s="80"/>
      <c r="O376" s="80"/>
      <c r="P376" s="80"/>
    </row>
    <row r="377">
      <c r="K377" s="80"/>
      <c r="L377" s="80"/>
      <c r="M377" s="80"/>
      <c r="N377" s="80"/>
      <c r="O377" s="80"/>
      <c r="P377" s="80"/>
    </row>
    <row r="378">
      <c r="K378" s="80"/>
      <c r="L378" s="80"/>
      <c r="M378" s="80"/>
      <c r="N378" s="80"/>
      <c r="O378" s="80"/>
      <c r="P378" s="80"/>
    </row>
    <row r="379">
      <c r="K379" s="80"/>
      <c r="L379" s="80"/>
      <c r="M379" s="80"/>
      <c r="N379" s="80"/>
      <c r="O379" s="80"/>
      <c r="P379" s="80"/>
    </row>
    <row r="380">
      <c r="K380" s="80"/>
      <c r="L380" s="80"/>
      <c r="M380" s="80"/>
      <c r="N380" s="80"/>
      <c r="O380" s="80"/>
      <c r="P380" s="80"/>
    </row>
    <row r="381">
      <c r="K381" s="80"/>
      <c r="L381" s="80"/>
      <c r="M381" s="80"/>
      <c r="N381" s="80"/>
      <c r="O381" s="80"/>
      <c r="P381" s="80"/>
    </row>
    <row r="382">
      <c r="K382" s="80"/>
      <c r="L382" s="80"/>
      <c r="M382" s="80"/>
      <c r="N382" s="80"/>
      <c r="O382" s="80"/>
      <c r="P382" s="80"/>
    </row>
    <row r="383">
      <c r="K383" s="80"/>
      <c r="L383" s="80"/>
      <c r="M383" s="80"/>
      <c r="N383" s="80"/>
      <c r="O383" s="80"/>
      <c r="P383" s="80"/>
    </row>
    <row r="384">
      <c r="K384" s="80"/>
      <c r="L384" s="80"/>
      <c r="M384" s="80"/>
      <c r="N384" s="80"/>
      <c r="O384" s="80"/>
      <c r="P384" s="80"/>
    </row>
    <row r="385">
      <c r="K385" s="80"/>
      <c r="L385" s="80"/>
      <c r="M385" s="80"/>
      <c r="N385" s="80"/>
      <c r="O385" s="80"/>
      <c r="P385" s="80"/>
    </row>
    <row r="386">
      <c r="K386" s="80"/>
      <c r="L386" s="80"/>
      <c r="M386" s="80"/>
      <c r="N386" s="80"/>
      <c r="O386" s="80"/>
      <c r="P386" s="80"/>
    </row>
    <row r="387">
      <c r="K387" s="80"/>
      <c r="L387" s="80"/>
      <c r="M387" s="80"/>
      <c r="N387" s="80"/>
      <c r="O387" s="80"/>
      <c r="P387" s="80"/>
    </row>
    <row r="388">
      <c r="K388" s="80"/>
      <c r="L388" s="80"/>
      <c r="M388" s="80"/>
      <c r="N388" s="80"/>
      <c r="O388" s="80"/>
      <c r="P388" s="80"/>
    </row>
    <row r="389">
      <c r="K389" s="80"/>
      <c r="L389" s="80"/>
      <c r="M389" s="80"/>
      <c r="N389" s="80"/>
      <c r="O389" s="80"/>
      <c r="P389" s="80"/>
    </row>
    <row r="390">
      <c r="K390" s="80"/>
      <c r="L390" s="80"/>
      <c r="M390" s="80"/>
      <c r="N390" s="80"/>
      <c r="O390" s="80"/>
      <c r="P390" s="80"/>
    </row>
    <row r="391">
      <c r="K391" s="80"/>
      <c r="L391" s="80"/>
      <c r="M391" s="80"/>
      <c r="N391" s="80"/>
      <c r="O391" s="80"/>
      <c r="P391" s="80"/>
    </row>
    <row r="392">
      <c r="K392" s="80"/>
      <c r="L392" s="80"/>
      <c r="M392" s="80"/>
      <c r="N392" s="80"/>
      <c r="O392" s="80"/>
      <c r="P392" s="80"/>
    </row>
    <row r="393">
      <c r="K393" s="80"/>
      <c r="L393" s="80"/>
      <c r="M393" s="80"/>
      <c r="N393" s="80"/>
      <c r="O393" s="80"/>
      <c r="P393" s="80"/>
    </row>
    <row r="394">
      <c r="K394" s="80"/>
      <c r="L394" s="80"/>
      <c r="M394" s="80"/>
      <c r="N394" s="80"/>
      <c r="O394" s="80"/>
      <c r="P394" s="80"/>
    </row>
    <row r="395">
      <c r="K395" s="80"/>
      <c r="L395" s="80"/>
      <c r="M395" s="80"/>
      <c r="N395" s="80"/>
      <c r="O395" s="80"/>
      <c r="P395" s="80"/>
    </row>
    <row r="396">
      <c r="K396" s="80"/>
      <c r="L396" s="80"/>
      <c r="M396" s="80"/>
      <c r="N396" s="80"/>
      <c r="O396" s="80"/>
      <c r="P396" s="80"/>
    </row>
    <row r="397">
      <c r="K397" s="80"/>
      <c r="L397" s="80"/>
      <c r="M397" s="80"/>
      <c r="N397" s="80"/>
      <c r="O397" s="80"/>
      <c r="P397" s="80"/>
    </row>
    <row r="398">
      <c r="K398" s="80"/>
      <c r="L398" s="80"/>
      <c r="M398" s="80"/>
      <c r="N398" s="80"/>
      <c r="O398" s="80"/>
      <c r="P398" s="80"/>
    </row>
    <row r="399">
      <c r="K399" s="80"/>
      <c r="L399" s="80"/>
      <c r="M399" s="80"/>
      <c r="N399" s="80"/>
      <c r="O399" s="80"/>
      <c r="P399" s="80"/>
    </row>
    <row r="400">
      <c r="K400" s="80"/>
      <c r="L400" s="80"/>
      <c r="M400" s="80"/>
      <c r="N400" s="80"/>
      <c r="O400" s="80"/>
      <c r="P400" s="80"/>
    </row>
    <row r="401">
      <c r="K401" s="80"/>
      <c r="L401" s="80"/>
      <c r="M401" s="80"/>
      <c r="N401" s="80"/>
      <c r="O401" s="80"/>
      <c r="P401" s="80"/>
    </row>
    <row r="402">
      <c r="K402" s="80"/>
      <c r="L402" s="80"/>
      <c r="M402" s="80"/>
      <c r="N402" s="80"/>
      <c r="O402" s="80"/>
      <c r="P402" s="80"/>
    </row>
    <row r="403">
      <c r="K403" s="80"/>
      <c r="L403" s="80"/>
      <c r="M403" s="80"/>
      <c r="N403" s="80"/>
      <c r="O403" s="80"/>
      <c r="P403" s="80"/>
    </row>
    <row r="404">
      <c r="K404" s="80"/>
      <c r="L404" s="80"/>
      <c r="M404" s="80"/>
      <c r="N404" s="80"/>
      <c r="O404" s="80"/>
      <c r="P404" s="80"/>
    </row>
    <row r="405">
      <c r="K405" s="80"/>
      <c r="L405" s="80"/>
      <c r="M405" s="80"/>
      <c r="N405" s="80"/>
      <c r="O405" s="80"/>
      <c r="P405" s="80"/>
    </row>
    <row r="406">
      <c r="K406" s="80"/>
      <c r="L406" s="80"/>
      <c r="M406" s="80"/>
      <c r="N406" s="80"/>
      <c r="O406" s="80"/>
      <c r="P406" s="80"/>
    </row>
    <row r="407">
      <c r="K407" s="80"/>
      <c r="L407" s="80"/>
      <c r="M407" s="80"/>
      <c r="N407" s="80"/>
      <c r="O407" s="80"/>
      <c r="P407" s="80"/>
    </row>
    <row r="408">
      <c r="K408" s="80"/>
      <c r="L408" s="80"/>
      <c r="M408" s="80"/>
      <c r="N408" s="80"/>
      <c r="O408" s="80"/>
      <c r="P408" s="80"/>
    </row>
    <row r="409">
      <c r="K409" s="80"/>
      <c r="L409" s="80"/>
      <c r="M409" s="80"/>
      <c r="N409" s="80"/>
      <c r="O409" s="80"/>
      <c r="P409" s="80"/>
    </row>
    <row r="410">
      <c r="K410" s="80"/>
      <c r="L410" s="80"/>
      <c r="M410" s="80"/>
      <c r="N410" s="80"/>
      <c r="O410" s="80"/>
      <c r="P410" s="80"/>
    </row>
    <row r="411">
      <c r="K411" s="80"/>
      <c r="L411" s="80"/>
      <c r="M411" s="80"/>
      <c r="N411" s="80"/>
      <c r="O411" s="80"/>
      <c r="P411" s="80"/>
    </row>
    <row r="412">
      <c r="K412" s="80"/>
      <c r="L412" s="80"/>
      <c r="M412" s="80"/>
      <c r="N412" s="80"/>
      <c r="O412" s="80"/>
      <c r="P412" s="80"/>
    </row>
    <row r="413">
      <c r="K413" s="80"/>
      <c r="L413" s="80"/>
      <c r="M413" s="80"/>
      <c r="N413" s="80"/>
      <c r="O413" s="80"/>
      <c r="P413" s="80"/>
    </row>
    <row r="414">
      <c r="K414" s="80"/>
      <c r="L414" s="80"/>
      <c r="M414" s="80"/>
      <c r="N414" s="80"/>
      <c r="O414" s="80"/>
      <c r="P414" s="80"/>
    </row>
    <row r="415">
      <c r="K415" s="80"/>
      <c r="L415" s="80"/>
      <c r="M415" s="80"/>
      <c r="N415" s="80"/>
      <c r="O415" s="80"/>
      <c r="P415" s="80"/>
    </row>
    <row r="416">
      <c r="K416" s="80"/>
      <c r="L416" s="80"/>
      <c r="M416" s="80"/>
      <c r="N416" s="80"/>
      <c r="O416" s="80"/>
      <c r="P416" s="80"/>
    </row>
    <row r="417">
      <c r="K417" s="80"/>
      <c r="L417" s="80"/>
      <c r="M417" s="80"/>
      <c r="N417" s="80"/>
      <c r="O417" s="80"/>
      <c r="P417" s="80"/>
    </row>
    <row r="418">
      <c r="K418" s="80"/>
      <c r="L418" s="80"/>
      <c r="M418" s="80"/>
      <c r="N418" s="80"/>
      <c r="O418" s="80"/>
      <c r="P418" s="80"/>
    </row>
    <row r="419">
      <c r="K419" s="80"/>
      <c r="L419" s="80"/>
      <c r="M419" s="80"/>
      <c r="N419" s="80"/>
      <c r="O419" s="80"/>
      <c r="P419" s="80"/>
    </row>
    <row r="420">
      <c r="K420" s="80"/>
      <c r="L420" s="80"/>
      <c r="M420" s="80"/>
      <c r="N420" s="80"/>
      <c r="O420" s="80"/>
      <c r="P420" s="80"/>
    </row>
    <row r="421">
      <c r="K421" s="80"/>
      <c r="L421" s="80"/>
      <c r="M421" s="80"/>
      <c r="N421" s="80"/>
      <c r="O421" s="80"/>
      <c r="P421" s="80"/>
    </row>
    <row r="422">
      <c r="K422" s="80"/>
      <c r="L422" s="80"/>
      <c r="M422" s="80"/>
      <c r="N422" s="80"/>
      <c r="O422" s="80"/>
      <c r="P422" s="80"/>
    </row>
    <row r="423">
      <c r="K423" s="80"/>
      <c r="L423" s="80"/>
      <c r="M423" s="80"/>
      <c r="N423" s="80"/>
      <c r="O423" s="80"/>
      <c r="P423" s="80"/>
    </row>
    <row r="424">
      <c r="K424" s="80"/>
      <c r="L424" s="80"/>
      <c r="M424" s="80"/>
      <c r="N424" s="80"/>
      <c r="O424" s="80"/>
      <c r="P424" s="80"/>
    </row>
    <row r="425">
      <c r="K425" s="80"/>
      <c r="L425" s="80"/>
      <c r="M425" s="80"/>
      <c r="N425" s="80"/>
      <c r="O425" s="80"/>
      <c r="P425" s="80"/>
    </row>
    <row r="426">
      <c r="K426" s="80"/>
      <c r="L426" s="80"/>
      <c r="M426" s="80"/>
      <c r="N426" s="80"/>
      <c r="O426" s="80"/>
      <c r="P426" s="80"/>
    </row>
    <row r="427">
      <c r="K427" s="80"/>
      <c r="L427" s="80"/>
      <c r="M427" s="80"/>
      <c r="N427" s="80"/>
      <c r="O427" s="80"/>
      <c r="P427" s="80"/>
    </row>
    <row r="428">
      <c r="K428" s="80"/>
      <c r="L428" s="80"/>
      <c r="M428" s="80"/>
      <c r="N428" s="80"/>
      <c r="O428" s="80"/>
      <c r="P428" s="80"/>
    </row>
    <row r="429">
      <c r="K429" s="80"/>
      <c r="L429" s="80"/>
      <c r="M429" s="80"/>
      <c r="N429" s="80"/>
      <c r="O429" s="80"/>
      <c r="P429" s="80"/>
    </row>
    <row r="430">
      <c r="K430" s="80"/>
      <c r="L430" s="80"/>
      <c r="M430" s="80"/>
      <c r="N430" s="80"/>
      <c r="O430" s="80"/>
      <c r="P430" s="80"/>
    </row>
    <row r="431">
      <c r="K431" s="80"/>
      <c r="L431" s="80"/>
      <c r="M431" s="80"/>
      <c r="N431" s="80"/>
      <c r="O431" s="80"/>
      <c r="P431" s="80"/>
    </row>
    <row r="432">
      <c r="K432" s="80"/>
      <c r="L432" s="80"/>
      <c r="M432" s="80"/>
      <c r="N432" s="80"/>
      <c r="O432" s="80"/>
      <c r="P432" s="80"/>
    </row>
    <row r="433">
      <c r="K433" s="80"/>
      <c r="L433" s="80"/>
      <c r="M433" s="80"/>
      <c r="N433" s="80"/>
      <c r="O433" s="80"/>
      <c r="P433" s="80"/>
    </row>
    <row r="434">
      <c r="K434" s="80"/>
      <c r="L434" s="80"/>
      <c r="M434" s="80"/>
      <c r="N434" s="80"/>
      <c r="O434" s="80"/>
      <c r="P434" s="80"/>
    </row>
    <row r="435">
      <c r="K435" s="80"/>
      <c r="L435" s="80"/>
      <c r="M435" s="80"/>
      <c r="N435" s="80"/>
      <c r="O435" s="80"/>
      <c r="P435" s="80"/>
    </row>
    <row r="436">
      <c r="K436" s="80"/>
      <c r="L436" s="80"/>
      <c r="M436" s="80"/>
      <c r="N436" s="80"/>
      <c r="O436" s="80"/>
      <c r="P436" s="80"/>
    </row>
    <row r="437">
      <c r="K437" s="80"/>
      <c r="L437" s="80"/>
      <c r="M437" s="80"/>
      <c r="N437" s="80"/>
      <c r="O437" s="80"/>
      <c r="P437" s="80"/>
    </row>
    <row r="438">
      <c r="K438" s="80"/>
      <c r="L438" s="80"/>
      <c r="M438" s="80"/>
      <c r="N438" s="80"/>
      <c r="O438" s="80"/>
      <c r="P438" s="80"/>
    </row>
    <row r="439">
      <c r="K439" s="80"/>
      <c r="L439" s="80"/>
      <c r="M439" s="80"/>
      <c r="N439" s="80"/>
      <c r="O439" s="80"/>
      <c r="P439" s="80"/>
    </row>
    <row r="440">
      <c r="K440" s="80"/>
      <c r="L440" s="80"/>
      <c r="M440" s="80"/>
      <c r="N440" s="80"/>
      <c r="O440" s="80"/>
      <c r="P440" s="80"/>
    </row>
    <row r="441">
      <c r="K441" s="80"/>
      <c r="L441" s="80"/>
      <c r="M441" s="80"/>
      <c r="N441" s="80"/>
      <c r="O441" s="80"/>
      <c r="P441" s="80"/>
    </row>
    <row r="442">
      <c r="K442" s="80"/>
      <c r="L442" s="80"/>
      <c r="M442" s="80"/>
      <c r="N442" s="80"/>
      <c r="O442" s="80"/>
      <c r="P442" s="80"/>
    </row>
    <row r="443">
      <c r="K443" s="80"/>
      <c r="L443" s="80"/>
      <c r="M443" s="80"/>
      <c r="N443" s="80"/>
      <c r="O443" s="80"/>
      <c r="P443" s="80"/>
    </row>
    <row r="444">
      <c r="K444" s="80"/>
      <c r="L444" s="80"/>
      <c r="M444" s="80"/>
      <c r="N444" s="80"/>
      <c r="O444" s="80"/>
      <c r="P444" s="80"/>
    </row>
    <row r="445">
      <c r="K445" s="80"/>
      <c r="L445" s="80"/>
      <c r="M445" s="80"/>
      <c r="N445" s="80"/>
      <c r="O445" s="80"/>
      <c r="P445" s="80"/>
    </row>
    <row r="446">
      <c r="K446" s="80"/>
      <c r="L446" s="80"/>
      <c r="M446" s="80"/>
      <c r="N446" s="80"/>
      <c r="O446" s="80"/>
      <c r="P446" s="80"/>
    </row>
    <row r="447">
      <c r="K447" s="80"/>
      <c r="L447" s="80"/>
      <c r="M447" s="80"/>
      <c r="N447" s="80"/>
      <c r="O447" s="80"/>
      <c r="P447" s="80"/>
    </row>
    <row r="448">
      <c r="K448" s="80"/>
      <c r="L448" s="80"/>
      <c r="M448" s="80"/>
      <c r="N448" s="80"/>
      <c r="O448" s="80"/>
      <c r="P448" s="80"/>
    </row>
    <row r="449">
      <c r="K449" s="80"/>
      <c r="L449" s="80"/>
      <c r="M449" s="80"/>
      <c r="N449" s="80"/>
      <c r="O449" s="80"/>
      <c r="P449" s="80"/>
    </row>
    <row r="450">
      <c r="K450" s="80"/>
      <c r="L450" s="80"/>
      <c r="M450" s="80"/>
      <c r="N450" s="80"/>
      <c r="O450" s="80"/>
      <c r="P450" s="80"/>
    </row>
    <row r="451">
      <c r="K451" s="80"/>
      <c r="L451" s="80"/>
      <c r="M451" s="80"/>
      <c r="N451" s="80"/>
      <c r="O451" s="80"/>
      <c r="P451" s="80"/>
    </row>
    <row r="452">
      <c r="K452" s="80"/>
      <c r="L452" s="80"/>
      <c r="M452" s="80"/>
      <c r="N452" s="80"/>
      <c r="O452" s="80"/>
      <c r="P452" s="80"/>
    </row>
    <row r="453">
      <c r="K453" s="80"/>
      <c r="L453" s="80"/>
      <c r="M453" s="80"/>
      <c r="N453" s="80"/>
      <c r="O453" s="80"/>
      <c r="P453" s="80"/>
    </row>
    <row r="454">
      <c r="K454" s="80"/>
      <c r="L454" s="80"/>
      <c r="M454" s="80"/>
      <c r="N454" s="80"/>
      <c r="O454" s="80"/>
      <c r="P454" s="80"/>
    </row>
    <row r="455">
      <c r="K455" s="80"/>
      <c r="L455" s="80"/>
      <c r="M455" s="80"/>
      <c r="N455" s="80"/>
      <c r="O455" s="80"/>
      <c r="P455" s="80"/>
    </row>
    <row r="456">
      <c r="K456" s="80"/>
      <c r="L456" s="80"/>
      <c r="M456" s="80"/>
      <c r="N456" s="80"/>
      <c r="O456" s="80"/>
      <c r="P456" s="80"/>
    </row>
    <row r="457">
      <c r="K457" s="80"/>
      <c r="L457" s="80"/>
      <c r="M457" s="80"/>
      <c r="N457" s="80"/>
      <c r="O457" s="80"/>
      <c r="P457" s="80"/>
    </row>
    <row r="458">
      <c r="K458" s="80"/>
      <c r="L458" s="80"/>
      <c r="M458" s="80"/>
      <c r="N458" s="80"/>
      <c r="O458" s="80"/>
      <c r="P458" s="80"/>
    </row>
    <row r="459">
      <c r="K459" s="80"/>
      <c r="L459" s="80"/>
      <c r="M459" s="80"/>
      <c r="N459" s="80"/>
      <c r="O459" s="80"/>
      <c r="P459" s="80"/>
    </row>
    <row r="460">
      <c r="K460" s="80"/>
      <c r="L460" s="80"/>
      <c r="M460" s="80"/>
      <c r="N460" s="80"/>
      <c r="O460" s="80"/>
      <c r="P460" s="80"/>
    </row>
    <row r="461">
      <c r="K461" s="80"/>
      <c r="L461" s="80"/>
      <c r="M461" s="80"/>
      <c r="N461" s="80"/>
      <c r="O461" s="80"/>
      <c r="P461" s="80"/>
    </row>
    <row r="462">
      <c r="K462" s="80"/>
      <c r="L462" s="80"/>
      <c r="M462" s="80"/>
      <c r="N462" s="80"/>
      <c r="O462" s="80"/>
      <c r="P462" s="80"/>
    </row>
    <row r="463">
      <c r="K463" s="80"/>
      <c r="L463" s="80"/>
      <c r="M463" s="80"/>
      <c r="N463" s="80"/>
      <c r="O463" s="80"/>
      <c r="P463" s="80"/>
    </row>
    <row r="464">
      <c r="K464" s="80"/>
      <c r="L464" s="80"/>
      <c r="M464" s="80"/>
      <c r="N464" s="80"/>
      <c r="O464" s="80"/>
      <c r="P464" s="80"/>
    </row>
    <row r="465">
      <c r="K465" s="80"/>
      <c r="L465" s="80"/>
      <c r="M465" s="80"/>
      <c r="N465" s="80"/>
      <c r="O465" s="80"/>
      <c r="P465" s="80"/>
    </row>
    <row r="466">
      <c r="K466" s="80"/>
      <c r="L466" s="80"/>
      <c r="M466" s="80"/>
      <c r="N466" s="80"/>
      <c r="O466" s="80"/>
      <c r="P466" s="80"/>
    </row>
    <row r="467">
      <c r="K467" s="80"/>
      <c r="L467" s="80"/>
      <c r="M467" s="80"/>
      <c r="N467" s="80"/>
      <c r="O467" s="80"/>
      <c r="P467" s="80"/>
    </row>
    <row r="468">
      <c r="K468" s="80"/>
      <c r="L468" s="80"/>
      <c r="M468" s="80"/>
      <c r="N468" s="80"/>
      <c r="O468" s="80"/>
      <c r="P468" s="80"/>
    </row>
    <row r="469">
      <c r="K469" s="80"/>
      <c r="L469" s="80"/>
      <c r="M469" s="80"/>
      <c r="N469" s="80"/>
      <c r="O469" s="80"/>
      <c r="P469" s="80"/>
    </row>
    <row r="470">
      <c r="K470" s="80"/>
      <c r="L470" s="80"/>
      <c r="M470" s="80"/>
      <c r="N470" s="80"/>
      <c r="O470" s="80"/>
      <c r="P470" s="80"/>
    </row>
    <row r="471">
      <c r="K471" s="80"/>
      <c r="L471" s="80"/>
      <c r="M471" s="80"/>
      <c r="N471" s="80"/>
      <c r="O471" s="80"/>
      <c r="P471" s="80"/>
    </row>
    <row r="472">
      <c r="K472" s="80"/>
      <c r="L472" s="80"/>
      <c r="M472" s="80"/>
      <c r="N472" s="80"/>
      <c r="O472" s="80"/>
      <c r="P472" s="80"/>
    </row>
    <row r="473">
      <c r="K473" s="80"/>
      <c r="L473" s="80"/>
      <c r="M473" s="80"/>
      <c r="N473" s="80"/>
      <c r="O473" s="80"/>
      <c r="P473" s="80"/>
    </row>
    <row r="474">
      <c r="K474" s="80"/>
      <c r="L474" s="80"/>
      <c r="M474" s="80"/>
      <c r="N474" s="80"/>
      <c r="O474" s="80"/>
      <c r="P474" s="80"/>
    </row>
    <row r="475">
      <c r="K475" s="80"/>
      <c r="L475" s="80"/>
      <c r="M475" s="80"/>
      <c r="N475" s="80"/>
      <c r="O475" s="80"/>
      <c r="P475" s="80"/>
    </row>
    <row r="476">
      <c r="K476" s="80"/>
      <c r="L476" s="80"/>
      <c r="M476" s="80"/>
      <c r="N476" s="80"/>
      <c r="O476" s="80"/>
      <c r="P476" s="80"/>
    </row>
    <row r="477">
      <c r="K477" s="80"/>
      <c r="L477" s="80"/>
      <c r="M477" s="80"/>
      <c r="N477" s="80"/>
      <c r="O477" s="80"/>
      <c r="P477" s="80"/>
    </row>
    <row r="478">
      <c r="K478" s="80"/>
      <c r="L478" s="80"/>
      <c r="M478" s="80"/>
      <c r="N478" s="80"/>
      <c r="O478" s="80"/>
      <c r="P478" s="80"/>
    </row>
    <row r="479">
      <c r="K479" s="80"/>
      <c r="L479" s="80"/>
      <c r="M479" s="80"/>
      <c r="N479" s="80"/>
      <c r="O479" s="80"/>
      <c r="P479" s="80"/>
    </row>
    <row r="480">
      <c r="K480" s="80"/>
      <c r="L480" s="80"/>
      <c r="M480" s="80"/>
      <c r="N480" s="80"/>
      <c r="O480" s="80"/>
      <c r="P480" s="80"/>
    </row>
    <row r="481">
      <c r="K481" s="80"/>
      <c r="L481" s="80"/>
      <c r="M481" s="80"/>
      <c r="N481" s="80"/>
      <c r="O481" s="80"/>
      <c r="P481" s="80"/>
    </row>
    <row r="482">
      <c r="K482" s="80"/>
      <c r="L482" s="80"/>
      <c r="M482" s="80"/>
      <c r="N482" s="80"/>
      <c r="O482" s="80"/>
      <c r="P482" s="80"/>
    </row>
    <row r="483">
      <c r="K483" s="80"/>
      <c r="L483" s="80"/>
      <c r="M483" s="80"/>
      <c r="N483" s="80"/>
      <c r="O483" s="80"/>
      <c r="P483" s="80"/>
    </row>
    <row r="484">
      <c r="K484" s="80"/>
      <c r="L484" s="80"/>
      <c r="M484" s="80"/>
      <c r="N484" s="80"/>
      <c r="O484" s="80"/>
      <c r="P484" s="80"/>
    </row>
    <row r="485">
      <c r="K485" s="80"/>
      <c r="L485" s="80"/>
      <c r="M485" s="80"/>
      <c r="N485" s="80"/>
      <c r="O485" s="80"/>
      <c r="P485" s="80"/>
    </row>
    <row r="486">
      <c r="K486" s="80"/>
      <c r="L486" s="80"/>
      <c r="M486" s="80"/>
      <c r="N486" s="80"/>
      <c r="O486" s="80"/>
      <c r="P486" s="80"/>
    </row>
    <row r="487">
      <c r="K487" s="80"/>
      <c r="L487" s="80"/>
      <c r="M487" s="80"/>
      <c r="N487" s="80"/>
      <c r="O487" s="80"/>
      <c r="P487" s="80"/>
    </row>
    <row r="488">
      <c r="K488" s="80"/>
      <c r="L488" s="80"/>
      <c r="M488" s="80"/>
      <c r="N488" s="80"/>
      <c r="O488" s="80"/>
      <c r="P488" s="80"/>
    </row>
    <row r="489">
      <c r="K489" s="80"/>
      <c r="L489" s="80"/>
      <c r="M489" s="80"/>
      <c r="N489" s="80"/>
      <c r="O489" s="80"/>
      <c r="P489" s="80"/>
    </row>
    <row r="490">
      <c r="K490" s="80"/>
      <c r="L490" s="80"/>
      <c r="M490" s="80"/>
      <c r="N490" s="80"/>
      <c r="O490" s="80"/>
      <c r="P490" s="80"/>
    </row>
    <row r="491">
      <c r="K491" s="80"/>
      <c r="L491" s="80"/>
      <c r="M491" s="80"/>
      <c r="N491" s="80"/>
      <c r="O491" s="80"/>
      <c r="P491" s="80"/>
    </row>
    <row r="492">
      <c r="K492" s="80"/>
      <c r="L492" s="80"/>
      <c r="M492" s="80"/>
      <c r="N492" s="80"/>
      <c r="O492" s="80"/>
      <c r="P492" s="80"/>
    </row>
    <row r="493">
      <c r="K493" s="80"/>
      <c r="L493" s="80"/>
      <c r="M493" s="80"/>
      <c r="N493" s="80"/>
      <c r="O493" s="80"/>
      <c r="P493" s="80"/>
    </row>
    <row r="494">
      <c r="K494" s="80"/>
      <c r="L494" s="80"/>
      <c r="M494" s="80"/>
      <c r="N494" s="80"/>
      <c r="O494" s="80"/>
      <c r="P494" s="80"/>
    </row>
    <row r="495">
      <c r="K495" s="80"/>
      <c r="L495" s="80"/>
      <c r="M495" s="80"/>
      <c r="N495" s="80"/>
      <c r="O495" s="80"/>
      <c r="P495" s="80"/>
    </row>
    <row r="496">
      <c r="K496" s="80"/>
      <c r="L496" s="80"/>
      <c r="M496" s="80"/>
      <c r="N496" s="80"/>
      <c r="O496" s="80"/>
      <c r="P496" s="80"/>
    </row>
    <row r="497">
      <c r="K497" s="80"/>
      <c r="L497" s="80"/>
      <c r="M497" s="80"/>
      <c r="N497" s="80"/>
      <c r="O497" s="80"/>
      <c r="P497" s="80"/>
    </row>
    <row r="498">
      <c r="K498" s="80"/>
      <c r="L498" s="80"/>
      <c r="M498" s="80"/>
      <c r="N498" s="80"/>
      <c r="O498" s="80"/>
      <c r="P498" s="80"/>
    </row>
    <row r="499">
      <c r="K499" s="80"/>
      <c r="L499" s="80"/>
      <c r="M499" s="80"/>
      <c r="N499" s="80"/>
      <c r="O499" s="80"/>
      <c r="P499" s="80"/>
    </row>
    <row r="500">
      <c r="K500" s="80"/>
      <c r="L500" s="80"/>
      <c r="M500" s="80"/>
      <c r="N500" s="80"/>
      <c r="O500" s="80"/>
      <c r="P500" s="80"/>
    </row>
    <row r="501">
      <c r="K501" s="80"/>
      <c r="L501" s="80"/>
      <c r="M501" s="80"/>
      <c r="N501" s="80"/>
      <c r="O501" s="80"/>
      <c r="P501" s="80"/>
    </row>
    <row r="502">
      <c r="K502" s="80"/>
      <c r="L502" s="80"/>
      <c r="M502" s="80"/>
      <c r="N502" s="80"/>
      <c r="O502" s="80"/>
      <c r="P502" s="80"/>
    </row>
    <row r="503">
      <c r="K503" s="80"/>
      <c r="L503" s="80"/>
      <c r="M503" s="80"/>
      <c r="N503" s="80"/>
      <c r="O503" s="80"/>
      <c r="P503" s="80"/>
    </row>
    <row r="504">
      <c r="K504" s="80"/>
      <c r="L504" s="80"/>
      <c r="M504" s="80"/>
      <c r="N504" s="80"/>
      <c r="O504" s="80"/>
      <c r="P504" s="80"/>
    </row>
    <row r="505">
      <c r="K505" s="80"/>
      <c r="L505" s="80"/>
      <c r="M505" s="80"/>
      <c r="N505" s="80"/>
      <c r="O505" s="80"/>
      <c r="P505" s="80"/>
    </row>
    <row r="506">
      <c r="K506" s="80"/>
      <c r="L506" s="80"/>
      <c r="M506" s="80"/>
      <c r="N506" s="80"/>
      <c r="O506" s="80"/>
      <c r="P506" s="80"/>
    </row>
    <row r="507">
      <c r="K507" s="80"/>
      <c r="L507" s="80"/>
      <c r="M507" s="80"/>
      <c r="N507" s="80"/>
      <c r="O507" s="80"/>
      <c r="P507" s="80"/>
    </row>
    <row r="508">
      <c r="K508" s="80"/>
      <c r="L508" s="80"/>
      <c r="M508" s="80"/>
      <c r="N508" s="80"/>
      <c r="O508" s="80"/>
      <c r="P508" s="80"/>
    </row>
    <row r="509">
      <c r="K509" s="80"/>
      <c r="L509" s="80"/>
      <c r="M509" s="80"/>
      <c r="N509" s="80"/>
      <c r="O509" s="80"/>
      <c r="P509" s="80"/>
    </row>
    <row r="510">
      <c r="K510" s="80"/>
      <c r="L510" s="80"/>
      <c r="M510" s="80"/>
      <c r="N510" s="80"/>
      <c r="O510" s="80"/>
      <c r="P510" s="80"/>
    </row>
    <row r="511">
      <c r="K511" s="80"/>
      <c r="L511" s="80"/>
      <c r="M511" s="80"/>
      <c r="N511" s="80"/>
      <c r="O511" s="80"/>
      <c r="P511" s="80"/>
    </row>
    <row r="512">
      <c r="K512" s="80"/>
      <c r="L512" s="80"/>
      <c r="M512" s="80"/>
      <c r="N512" s="80"/>
      <c r="O512" s="80"/>
      <c r="P512" s="80"/>
    </row>
    <row r="513">
      <c r="K513" s="80"/>
      <c r="L513" s="80"/>
      <c r="M513" s="80"/>
      <c r="N513" s="80"/>
      <c r="O513" s="80"/>
      <c r="P513" s="80"/>
    </row>
    <row r="514">
      <c r="K514" s="80"/>
      <c r="L514" s="80"/>
      <c r="M514" s="80"/>
      <c r="N514" s="80"/>
      <c r="O514" s="80"/>
      <c r="P514" s="80"/>
    </row>
    <row r="515">
      <c r="K515" s="80"/>
      <c r="L515" s="80"/>
      <c r="M515" s="80"/>
      <c r="N515" s="80"/>
      <c r="O515" s="80"/>
      <c r="P515" s="80"/>
    </row>
    <row r="516">
      <c r="K516" s="80"/>
      <c r="L516" s="80"/>
      <c r="M516" s="80"/>
      <c r="N516" s="80"/>
      <c r="O516" s="80"/>
      <c r="P516" s="80"/>
    </row>
    <row r="517">
      <c r="K517" s="80"/>
      <c r="L517" s="80"/>
      <c r="M517" s="80"/>
      <c r="N517" s="80"/>
      <c r="O517" s="80"/>
      <c r="P517" s="80"/>
    </row>
    <row r="518">
      <c r="K518" s="80"/>
      <c r="L518" s="80"/>
      <c r="M518" s="80"/>
      <c r="N518" s="80"/>
      <c r="O518" s="80"/>
      <c r="P518" s="80"/>
    </row>
    <row r="519">
      <c r="K519" s="80"/>
      <c r="L519" s="80"/>
      <c r="M519" s="80"/>
      <c r="N519" s="80"/>
      <c r="O519" s="80"/>
      <c r="P519" s="80"/>
    </row>
    <row r="520">
      <c r="K520" s="80"/>
      <c r="L520" s="80"/>
      <c r="M520" s="80"/>
      <c r="N520" s="80"/>
      <c r="O520" s="80"/>
      <c r="P520" s="80"/>
    </row>
    <row r="521">
      <c r="K521" s="80"/>
      <c r="L521" s="80"/>
      <c r="M521" s="80"/>
      <c r="N521" s="80"/>
      <c r="O521" s="80"/>
      <c r="P521" s="80"/>
    </row>
    <row r="522">
      <c r="K522" s="80"/>
      <c r="L522" s="80"/>
      <c r="M522" s="80"/>
      <c r="N522" s="80"/>
      <c r="O522" s="80"/>
      <c r="P522" s="80"/>
    </row>
    <row r="523">
      <c r="K523" s="80"/>
      <c r="L523" s="80"/>
      <c r="M523" s="80"/>
      <c r="N523" s="80"/>
      <c r="O523" s="80"/>
      <c r="P523" s="80"/>
    </row>
    <row r="524">
      <c r="K524" s="80"/>
      <c r="L524" s="80"/>
      <c r="M524" s="80"/>
      <c r="N524" s="80"/>
      <c r="O524" s="80"/>
      <c r="P524" s="80"/>
    </row>
    <row r="525">
      <c r="K525" s="80"/>
      <c r="L525" s="80"/>
      <c r="M525" s="80"/>
      <c r="N525" s="80"/>
      <c r="O525" s="80"/>
      <c r="P525" s="80"/>
    </row>
    <row r="526">
      <c r="K526" s="80"/>
      <c r="L526" s="80"/>
      <c r="M526" s="80"/>
      <c r="N526" s="80"/>
      <c r="O526" s="80"/>
      <c r="P526" s="80"/>
    </row>
    <row r="527">
      <c r="K527" s="80"/>
      <c r="L527" s="80"/>
      <c r="M527" s="80"/>
      <c r="N527" s="80"/>
      <c r="O527" s="80"/>
      <c r="P527" s="80"/>
    </row>
    <row r="528">
      <c r="K528" s="80"/>
      <c r="L528" s="80"/>
      <c r="M528" s="80"/>
      <c r="N528" s="80"/>
      <c r="O528" s="80"/>
      <c r="P528" s="80"/>
    </row>
    <row r="529">
      <c r="K529" s="80"/>
      <c r="L529" s="80"/>
      <c r="M529" s="80"/>
      <c r="N529" s="80"/>
      <c r="O529" s="80"/>
      <c r="P529" s="80"/>
    </row>
    <row r="530">
      <c r="K530" s="80"/>
      <c r="L530" s="80"/>
      <c r="M530" s="80"/>
      <c r="N530" s="80"/>
      <c r="O530" s="80"/>
      <c r="P530" s="80"/>
    </row>
    <row r="531">
      <c r="K531" s="80"/>
      <c r="L531" s="80"/>
      <c r="M531" s="80"/>
      <c r="N531" s="80"/>
      <c r="O531" s="80"/>
      <c r="P531" s="80"/>
    </row>
    <row r="532">
      <c r="K532" s="80"/>
      <c r="L532" s="80"/>
      <c r="M532" s="80"/>
      <c r="N532" s="80"/>
      <c r="O532" s="80"/>
      <c r="P532" s="80"/>
    </row>
    <row r="533">
      <c r="K533" s="80"/>
      <c r="L533" s="80"/>
      <c r="M533" s="80"/>
      <c r="N533" s="80"/>
      <c r="O533" s="80"/>
      <c r="P533" s="80"/>
    </row>
    <row r="534">
      <c r="K534" s="80"/>
      <c r="L534" s="80"/>
      <c r="M534" s="80"/>
      <c r="N534" s="80"/>
      <c r="O534" s="80"/>
      <c r="P534" s="80"/>
    </row>
    <row r="535">
      <c r="K535" s="80"/>
      <c r="L535" s="80"/>
      <c r="M535" s="80"/>
      <c r="N535" s="80"/>
      <c r="O535" s="80"/>
      <c r="P535" s="80"/>
    </row>
    <row r="536">
      <c r="K536" s="80"/>
      <c r="L536" s="80"/>
      <c r="M536" s="80"/>
      <c r="N536" s="80"/>
      <c r="O536" s="80"/>
      <c r="P536" s="80"/>
    </row>
    <row r="537">
      <c r="K537" s="80"/>
      <c r="L537" s="80"/>
      <c r="M537" s="80"/>
      <c r="N537" s="80"/>
      <c r="O537" s="80"/>
      <c r="P537" s="80"/>
    </row>
    <row r="538">
      <c r="K538" s="80"/>
      <c r="L538" s="80"/>
      <c r="M538" s="80"/>
      <c r="N538" s="80"/>
      <c r="O538" s="80"/>
      <c r="P538" s="80"/>
    </row>
    <row r="539">
      <c r="K539" s="80"/>
      <c r="L539" s="80"/>
      <c r="M539" s="80"/>
      <c r="N539" s="80"/>
      <c r="O539" s="80"/>
      <c r="P539" s="80"/>
    </row>
    <row r="540">
      <c r="K540" s="80"/>
      <c r="L540" s="80"/>
      <c r="M540" s="80"/>
      <c r="N540" s="80"/>
      <c r="O540" s="80"/>
      <c r="P540" s="80"/>
    </row>
    <row r="541">
      <c r="K541" s="80"/>
      <c r="L541" s="80"/>
      <c r="M541" s="80"/>
      <c r="N541" s="80"/>
      <c r="O541" s="80"/>
      <c r="P541" s="80"/>
    </row>
    <row r="542">
      <c r="K542" s="80"/>
      <c r="L542" s="80"/>
      <c r="M542" s="80"/>
      <c r="N542" s="80"/>
      <c r="O542" s="80"/>
      <c r="P542" s="80"/>
    </row>
    <row r="543">
      <c r="K543" s="80"/>
      <c r="L543" s="80"/>
      <c r="M543" s="80"/>
      <c r="N543" s="80"/>
      <c r="O543" s="80"/>
      <c r="P543" s="80"/>
    </row>
    <row r="544">
      <c r="K544" s="80"/>
      <c r="L544" s="80"/>
      <c r="M544" s="80"/>
      <c r="N544" s="80"/>
      <c r="O544" s="80"/>
      <c r="P544" s="80"/>
    </row>
    <row r="545">
      <c r="K545" s="80"/>
      <c r="L545" s="80"/>
      <c r="M545" s="80"/>
      <c r="N545" s="80"/>
      <c r="O545" s="80"/>
      <c r="P545" s="80"/>
    </row>
    <row r="546">
      <c r="K546" s="80"/>
      <c r="L546" s="80"/>
      <c r="M546" s="80"/>
      <c r="N546" s="80"/>
      <c r="O546" s="80"/>
      <c r="P546" s="80"/>
    </row>
    <row r="547">
      <c r="K547" s="80"/>
      <c r="L547" s="80"/>
      <c r="M547" s="80"/>
      <c r="N547" s="80"/>
      <c r="O547" s="80"/>
      <c r="P547" s="80"/>
    </row>
    <row r="548">
      <c r="K548" s="80"/>
      <c r="L548" s="80"/>
      <c r="M548" s="80"/>
      <c r="N548" s="80"/>
      <c r="O548" s="80"/>
      <c r="P548" s="80"/>
    </row>
    <row r="549">
      <c r="K549" s="80"/>
      <c r="L549" s="80"/>
      <c r="M549" s="80"/>
      <c r="N549" s="80"/>
      <c r="O549" s="80"/>
      <c r="P549" s="80"/>
    </row>
    <row r="550">
      <c r="K550" s="80"/>
      <c r="L550" s="80"/>
      <c r="M550" s="80"/>
      <c r="N550" s="80"/>
      <c r="O550" s="80"/>
      <c r="P550" s="80"/>
    </row>
    <row r="551">
      <c r="K551" s="80"/>
      <c r="L551" s="80"/>
      <c r="M551" s="80"/>
      <c r="N551" s="80"/>
      <c r="O551" s="80"/>
      <c r="P551" s="80"/>
    </row>
    <row r="552">
      <c r="K552" s="80"/>
      <c r="L552" s="80"/>
      <c r="M552" s="80"/>
      <c r="N552" s="80"/>
      <c r="O552" s="80"/>
      <c r="P552" s="80"/>
    </row>
    <row r="553">
      <c r="K553" s="80"/>
      <c r="L553" s="80"/>
      <c r="M553" s="80"/>
      <c r="N553" s="80"/>
      <c r="O553" s="80"/>
      <c r="P553" s="80"/>
    </row>
    <row r="554">
      <c r="K554" s="80"/>
      <c r="L554" s="80"/>
      <c r="M554" s="80"/>
      <c r="N554" s="80"/>
      <c r="O554" s="80"/>
      <c r="P554" s="80"/>
    </row>
    <row r="555">
      <c r="K555" s="80"/>
      <c r="L555" s="80"/>
      <c r="M555" s="80"/>
      <c r="N555" s="80"/>
      <c r="O555" s="80"/>
      <c r="P555" s="80"/>
    </row>
    <row r="556">
      <c r="K556" s="80"/>
      <c r="L556" s="80"/>
      <c r="M556" s="80"/>
      <c r="N556" s="80"/>
      <c r="O556" s="80"/>
      <c r="P556" s="80"/>
    </row>
    <row r="557">
      <c r="K557" s="80"/>
      <c r="L557" s="80"/>
      <c r="M557" s="80"/>
      <c r="N557" s="80"/>
      <c r="O557" s="80"/>
      <c r="P557" s="80"/>
    </row>
    <row r="558">
      <c r="K558" s="80"/>
      <c r="L558" s="80"/>
      <c r="M558" s="80"/>
      <c r="N558" s="80"/>
      <c r="O558" s="80"/>
      <c r="P558" s="80"/>
    </row>
    <row r="559">
      <c r="K559" s="80"/>
      <c r="L559" s="80"/>
      <c r="M559" s="80"/>
      <c r="N559" s="80"/>
      <c r="O559" s="80"/>
      <c r="P559" s="80"/>
    </row>
    <row r="560">
      <c r="K560" s="80"/>
      <c r="L560" s="80"/>
      <c r="M560" s="80"/>
      <c r="N560" s="80"/>
      <c r="O560" s="80"/>
      <c r="P560" s="80"/>
    </row>
    <row r="561">
      <c r="K561" s="80"/>
      <c r="L561" s="80"/>
      <c r="M561" s="80"/>
      <c r="N561" s="80"/>
      <c r="O561" s="80"/>
      <c r="P561" s="80"/>
    </row>
    <row r="562">
      <c r="K562" s="80"/>
      <c r="L562" s="80"/>
      <c r="M562" s="80"/>
      <c r="N562" s="80"/>
      <c r="O562" s="80"/>
      <c r="P562" s="80"/>
    </row>
    <row r="563">
      <c r="K563" s="80"/>
      <c r="L563" s="80"/>
      <c r="M563" s="80"/>
      <c r="N563" s="80"/>
      <c r="O563" s="80"/>
      <c r="P563" s="80"/>
    </row>
    <row r="564">
      <c r="K564" s="80"/>
      <c r="L564" s="80"/>
      <c r="M564" s="80"/>
      <c r="N564" s="80"/>
      <c r="O564" s="80"/>
      <c r="P564" s="80"/>
    </row>
    <row r="565">
      <c r="K565" s="80"/>
      <c r="L565" s="80"/>
      <c r="M565" s="80"/>
      <c r="N565" s="80"/>
      <c r="O565" s="80"/>
      <c r="P565" s="80"/>
    </row>
    <row r="566">
      <c r="K566" s="80"/>
      <c r="L566" s="80"/>
      <c r="M566" s="80"/>
      <c r="N566" s="80"/>
      <c r="O566" s="80"/>
      <c r="P566" s="80"/>
    </row>
    <row r="567">
      <c r="K567" s="80"/>
      <c r="L567" s="80"/>
      <c r="M567" s="80"/>
      <c r="N567" s="80"/>
      <c r="O567" s="80"/>
      <c r="P567" s="80"/>
    </row>
    <row r="568">
      <c r="K568" s="80"/>
      <c r="L568" s="80"/>
      <c r="M568" s="80"/>
      <c r="N568" s="80"/>
      <c r="O568" s="80"/>
      <c r="P568" s="80"/>
    </row>
    <row r="569">
      <c r="K569" s="80"/>
      <c r="L569" s="80"/>
      <c r="M569" s="80"/>
      <c r="N569" s="80"/>
      <c r="O569" s="80"/>
      <c r="P569" s="80"/>
    </row>
    <row r="570">
      <c r="K570" s="80"/>
      <c r="L570" s="80"/>
      <c r="M570" s="80"/>
      <c r="N570" s="80"/>
      <c r="O570" s="80"/>
      <c r="P570" s="80"/>
    </row>
    <row r="571">
      <c r="K571" s="80"/>
      <c r="L571" s="80"/>
      <c r="M571" s="80"/>
      <c r="N571" s="80"/>
      <c r="O571" s="80"/>
      <c r="P571" s="80"/>
    </row>
    <row r="572">
      <c r="K572" s="80"/>
      <c r="L572" s="80"/>
      <c r="M572" s="80"/>
      <c r="N572" s="80"/>
      <c r="O572" s="80"/>
      <c r="P572" s="80"/>
    </row>
    <row r="573">
      <c r="K573" s="80"/>
      <c r="L573" s="80"/>
      <c r="M573" s="80"/>
      <c r="N573" s="80"/>
      <c r="O573" s="80"/>
      <c r="P573" s="80"/>
    </row>
    <row r="574">
      <c r="K574" s="80"/>
      <c r="L574" s="80"/>
      <c r="M574" s="80"/>
      <c r="N574" s="80"/>
      <c r="O574" s="80"/>
      <c r="P574" s="80"/>
    </row>
    <row r="575">
      <c r="K575" s="80"/>
      <c r="L575" s="80"/>
      <c r="M575" s="80"/>
      <c r="N575" s="80"/>
      <c r="O575" s="80"/>
      <c r="P575" s="80"/>
    </row>
    <row r="576">
      <c r="K576" s="80"/>
      <c r="L576" s="80"/>
      <c r="M576" s="80"/>
      <c r="N576" s="80"/>
      <c r="O576" s="80"/>
      <c r="P576" s="80"/>
    </row>
    <row r="577">
      <c r="K577" s="80"/>
      <c r="L577" s="80"/>
      <c r="M577" s="80"/>
      <c r="N577" s="80"/>
      <c r="O577" s="80"/>
      <c r="P577" s="80"/>
    </row>
    <row r="578">
      <c r="K578" s="80"/>
      <c r="L578" s="80"/>
      <c r="M578" s="80"/>
      <c r="N578" s="80"/>
      <c r="O578" s="80"/>
      <c r="P578" s="80"/>
    </row>
    <row r="579">
      <c r="K579" s="80"/>
      <c r="L579" s="80"/>
      <c r="M579" s="80"/>
      <c r="N579" s="80"/>
      <c r="O579" s="80"/>
      <c r="P579" s="80"/>
    </row>
    <row r="580">
      <c r="K580" s="80"/>
      <c r="L580" s="80"/>
      <c r="M580" s="80"/>
      <c r="N580" s="80"/>
      <c r="O580" s="80"/>
      <c r="P580" s="80"/>
    </row>
    <row r="581">
      <c r="K581" s="80"/>
      <c r="L581" s="80"/>
      <c r="M581" s="80"/>
      <c r="N581" s="80"/>
      <c r="O581" s="80"/>
      <c r="P581" s="80"/>
    </row>
    <row r="582">
      <c r="K582" s="80"/>
      <c r="L582" s="80"/>
      <c r="M582" s="80"/>
      <c r="N582" s="80"/>
      <c r="O582" s="80"/>
      <c r="P582" s="80"/>
    </row>
    <row r="583">
      <c r="K583" s="80"/>
      <c r="L583" s="80"/>
      <c r="M583" s="80"/>
      <c r="N583" s="80"/>
      <c r="O583" s="80"/>
      <c r="P583" s="80"/>
    </row>
    <row r="584">
      <c r="K584" s="80"/>
      <c r="L584" s="80"/>
      <c r="M584" s="80"/>
      <c r="N584" s="80"/>
      <c r="O584" s="80"/>
      <c r="P584" s="80"/>
    </row>
    <row r="585">
      <c r="K585" s="80"/>
      <c r="L585" s="80"/>
      <c r="M585" s="80"/>
      <c r="N585" s="80"/>
      <c r="O585" s="80"/>
      <c r="P585" s="80"/>
    </row>
    <row r="586">
      <c r="K586" s="80"/>
      <c r="L586" s="80"/>
      <c r="M586" s="80"/>
      <c r="N586" s="80"/>
      <c r="O586" s="80"/>
      <c r="P586" s="80"/>
    </row>
    <row r="587">
      <c r="K587" s="80"/>
      <c r="L587" s="80"/>
      <c r="M587" s="80"/>
      <c r="N587" s="80"/>
      <c r="O587" s="80"/>
      <c r="P587" s="80"/>
    </row>
    <row r="588">
      <c r="K588" s="80"/>
      <c r="L588" s="80"/>
      <c r="M588" s="80"/>
      <c r="N588" s="80"/>
      <c r="O588" s="80"/>
      <c r="P588" s="80"/>
    </row>
    <row r="589">
      <c r="K589" s="80"/>
      <c r="L589" s="80"/>
      <c r="M589" s="80"/>
      <c r="N589" s="80"/>
      <c r="O589" s="80"/>
      <c r="P589" s="80"/>
    </row>
    <row r="590">
      <c r="K590" s="80"/>
      <c r="L590" s="80"/>
      <c r="M590" s="80"/>
      <c r="N590" s="80"/>
      <c r="O590" s="80"/>
      <c r="P590" s="80"/>
    </row>
    <row r="591">
      <c r="K591" s="80"/>
      <c r="L591" s="80"/>
      <c r="M591" s="80"/>
      <c r="N591" s="80"/>
      <c r="O591" s="80"/>
      <c r="P591" s="80"/>
    </row>
    <row r="592">
      <c r="K592" s="80"/>
      <c r="L592" s="80"/>
      <c r="M592" s="80"/>
      <c r="N592" s="80"/>
      <c r="O592" s="80"/>
      <c r="P592" s="80"/>
    </row>
    <row r="593">
      <c r="K593" s="80"/>
      <c r="L593" s="80"/>
      <c r="M593" s="80"/>
      <c r="N593" s="80"/>
      <c r="O593" s="80"/>
      <c r="P593" s="80"/>
    </row>
    <row r="594">
      <c r="K594" s="80"/>
      <c r="L594" s="80"/>
      <c r="M594" s="80"/>
      <c r="N594" s="80"/>
      <c r="O594" s="80"/>
      <c r="P594" s="80"/>
    </row>
    <row r="595">
      <c r="K595" s="80"/>
      <c r="L595" s="80"/>
      <c r="M595" s="80"/>
      <c r="N595" s="80"/>
      <c r="O595" s="80"/>
      <c r="P595" s="80"/>
    </row>
    <row r="596">
      <c r="K596" s="80"/>
      <c r="L596" s="80"/>
      <c r="M596" s="80"/>
      <c r="N596" s="80"/>
      <c r="O596" s="80"/>
      <c r="P596" s="80"/>
    </row>
    <row r="597">
      <c r="K597" s="80"/>
      <c r="L597" s="80"/>
      <c r="M597" s="80"/>
      <c r="N597" s="80"/>
      <c r="O597" s="80"/>
      <c r="P597" s="80"/>
    </row>
    <row r="598">
      <c r="K598" s="80"/>
      <c r="L598" s="80"/>
      <c r="M598" s="80"/>
      <c r="N598" s="80"/>
      <c r="O598" s="80"/>
      <c r="P598" s="80"/>
    </row>
    <row r="599">
      <c r="K599" s="80"/>
      <c r="L599" s="80"/>
      <c r="M599" s="80"/>
      <c r="N599" s="80"/>
      <c r="O599" s="80"/>
      <c r="P599" s="80"/>
    </row>
    <row r="600">
      <c r="K600" s="80"/>
      <c r="L600" s="80"/>
      <c r="M600" s="80"/>
      <c r="N600" s="80"/>
      <c r="O600" s="80"/>
      <c r="P600" s="80"/>
    </row>
    <row r="601">
      <c r="K601" s="80"/>
      <c r="L601" s="80"/>
      <c r="M601" s="80"/>
      <c r="N601" s="80"/>
      <c r="O601" s="80"/>
      <c r="P601" s="80"/>
    </row>
    <row r="602">
      <c r="K602" s="80"/>
      <c r="L602" s="80"/>
      <c r="M602" s="80"/>
      <c r="N602" s="80"/>
      <c r="O602" s="80"/>
      <c r="P602" s="80"/>
    </row>
    <row r="603">
      <c r="K603" s="80"/>
      <c r="L603" s="80"/>
      <c r="M603" s="80"/>
      <c r="N603" s="80"/>
      <c r="O603" s="80"/>
      <c r="P603" s="80"/>
    </row>
    <row r="604">
      <c r="K604" s="80"/>
      <c r="L604" s="80"/>
      <c r="M604" s="80"/>
      <c r="N604" s="80"/>
      <c r="O604" s="80"/>
      <c r="P604" s="80"/>
    </row>
    <row r="605">
      <c r="K605" s="80"/>
      <c r="L605" s="80"/>
      <c r="M605" s="80"/>
      <c r="N605" s="80"/>
      <c r="O605" s="80"/>
      <c r="P605" s="80"/>
    </row>
    <row r="606">
      <c r="K606" s="80"/>
      <c r="L606" s="80"/>
      <c r="M606" s="80"/>
      <c r="N606" s="80"/>
      <c r="O606" s="80"/>
      <c r="P606" s="80"/>
    </row>
    <row r="607">
      <c r="K607" s="80"/>
      <c r="L607" s="80"/>
      <c r="M607" s="80"/>
      <c r="N607" s="80"/>
      <c r="O607" s="80"/>
      <c r="P607" s="80"/>
    </row>
    <row r="608">
      <c r="K608" s="80"/>
      <c r="L608" s="80"/>
      <c r="M608" s="80"/>
      <c r="N608" s="80"/>
      <c r="O608" s="80"/>
      <c r="P608" s="80"/>
    </row>
    <row r="609">
      <c r="K609" s="80"/>
      <c r="L609" s="80"/>
      <c r="M609" s="80"/>
      <c r="N609" s="80"/>
      <c r="O609" s="80"/>
      <c r="P609" s="80"/>
    </row>
    <row r="610">
      <c r="K610" s="80"/>
      <c r="L610" s="80"/>
      <c r="M610" s="80"/>
      <c r="N610" s="80"/>
      <c r="O610" s="80"/>
      <c r="P610" s="80"/>
    </row>
    <row r="611">
      <c r="K611" s="80"/>
      <c r="L611" s="80"/>
      <c r="M611" s="80"/>
      <c r="N611" s="80"/>
      <c r="O611" s="80"/>
      <c r="P611" s="80"/>
    </row>
    <row r="612">
      <c r="K612" s="80"/>
      <c r="L612" s="80"/>
      <c r="M612" s="80"/>
      <c r="N612" s="80"/>
      <c r="O612" s="80"/>
      <c r="P612" s="80"/>
    </row>
    <row r="613">
      <c r="K613" s="80"/>
      <c r="L613" s="80"/>
      <c r="M613" s="80"/>
      <c r="N613" s="80"/>
      <c r="O613" s="80"/>
      <c r="P613" s="80"/>
    </row>
    <row r="614">
      <c r="K614" s="80"/>
      <c r="L614" s="80"/>
      <c r="M614" s="80"/>
      <c r="N614" s="80"/>
      <c r="O614" s="80"/>
      <c r="P614" s="80"/>
    </row>
    <row r="615">
      <c r="K615" s="80"/>
      <c r="L615" s="80"/>
      <c r="M615" s="80"/>
      <c r="N615" s="80"/>
      <c r="O615" s="80"/>
      <c r="P615" s="80"/>
    </row>
    <row r="616">
      <c r="K616" s="80"/>
      <c r="L616" s="80"/>
      <c r="M616" s="80"/>
      <c r="N616" s="80"/>
      <c r="O616" s="80"/>
      <c r="P616" s="80"/>
    </row>
    <row r="617">
      <c r="K617" s="80"/>
      <c r="L617" s="80"/>
      <c r="M617" s="80"/>
      <c r="N617" s="80"/>
      <c r="O617" s="80"/>
      <c r="P617" s="80"/>
    </row>
    <row r="618">
      <c r="K618" s="80"/>
      <c r="L618" s="80"/>
      <c r="M618" s="80"/>
      <c r="N618" s="80"/>
      <c r="O618" s="80"/>
      <c r="P618" s="80"/>
    </row>
    <row r="619">
      <c r="K619" s="80"/>
      <c r="L619" s="80"/>
      <c r="M619" s="80"/>
      <c r="N619" s="80"/>
      <c r="O619" s="80"/>
      <c r="P619" s="80"/>
    </row>
    <row r="620">
      <c r="K620" s="80"/>
      <c r="L620" s="80"/>
      <c r="M620" s="80"/>
      <c r="N620" s="80"/>
      <c r="O620" s="80"/>
      <c r="P620" s="80"/>
    </row>
    <row r="621">
      <c r="K621" s="80"/>
      <c r="L621" s="80"/>
      <c r="M621" s="80"/>
      <c r="N621" s="80"/>
      <c r="O621" s="80"/>
      <c r="P621" s="80"/>
    </row>
    <row r="622">
      <c r="K622" s="80"/>
      <c r="L622" s="80"/>
      <c r="M622" s="80"/>
      <c r="N622" s="80"/>
      <c r="O622" s="80"/>
      <c r="P622" s="80"/>
    </row>
    <row r="623">
      <c r="K623" s="80"/>
      <c r="L623" s="80"/>
      <c r="M623" s="80"/>
      <c r="N623" s="80"/>
      <c r="O623" s="80"/>
      <c r="P623" s="80"/>
    </row>
    <row r="624">
      <c r="K624" s="80"/>
      <c r="L624" s="80"/>
      <c r="M624" s="80"/>
      <c r="N624" s="80"/>
      <c r="O624" s="80"/>
      <c r="P624" s="80"/>
    </row>
    <row r="625">
      <c r="K625" s="80"/>
      <c r="L625" s="80"/>
      <c r="M625" s="80"/>
      <c r="N625" s="80"/>
      <c r="O625" s="80"/>
      <c r="P625" s="80"/>
    </row>
    <row r="626">
      <c r="K626" s="80"/>
      <c r="L626" s="80"/>
      <c r="M626" s="80"/>
      <c r="N626" s="80"/>
      <c r="O626" s="80"/>
      <c r="P626" s="80"/>
    </row>
    <row r="627">
      <c r="K627" s="80"/>
      <c r="L627" s="80"/>
      <c r="M627" s="80"/>
      <c r="N627" s="80"/>
      <c r="O627" s="80"/>
      <c r="P627" s="80"/>
    </row>
    <row r="628">
      <c r="K628" s="80"/>
      <c r="L628" s="80"/>
      <c r="M628" s="80"/>
      <c r="N628" s="80"/>
      <c r="O628" s="80"/>
      <c r="P628" s="80"/>
    </row>
    <row r="629">
      <c r="K629" s="80"/>
      <c r="L629" s="80"/>
      <c r="M629" s="80"/>
      <c r="N629" s="80"/>
      <c r="O629" s="80"/>
      <c r="P629" s="80"/>
    </row>
    <row r="630">
      <c r="K630" s="80"/>
      <c r="L630" s="80"/>
      <c r="M630" s="80"/>
      <c r="N630" s="80"/>
      <c r="O630" s="80"/>
      <c r="P630" s="80"/>
    </row>
    <row r="631">
      <c r="K631" s="80"/>
      <c r="L631" s="80"/>
      <c r="M631" s="80"/>
      <c r="N631" s="80"/>
      <c r="O631" s="80"/>
      <c r="P631" s="80"/>
    </row>
    <row r="632">
      <c r="K632" s="80"/>
      <c r="L632" s="80"/>
      <c r="M632" s="80"/>
      <c r="N632" s="80"/>
      <c r="O632" s="80"/>
      <c r="P632" s="80"/>
    </row>
    <row r="633">
      <c r="K633" s="80"/>
      <c r="L633" s="80"/>
      <c r="M633" s="80"/>
      <c r="N633" s="80"/>
      <c r="O633" s="80"/>
      <c r="P633" s="80"/>
    </row>
    <row r="634">
      <c r="K634" s="80"/>
      <c r="L634" s="80"/>
      <c r="M634" s="80"/>
      <c r="N634" s="80"/>
      <c r="O634" s="80"/>
      <c r="P634" s="80"/>
    </row>
    <row r="635">
      <c r="K635" s="80"/>
      <c r="L635" s="80"/>
      <c r="M635" s="80"/>
      <c r="N635" s="80"/>
      <c r="O635" s="80"/>
      <c r="P635" s="80"/>
    </row>
    <row r="636">
      <c r="K636" s="80"/>
      <c r="L636" s="80"/>
      <c r="M636" s="80"/>
      <c r="N636" s="80"/>
      <c r="O636" s="80"/>
      <c r="P636" s="80"/>
    </row>
    <row r="637">
      <c r="K637" s="80"/>
      <c r="L637" s="80"/>
      <c r="M637" s="80"/>
      <c r="N637" s="80"/>
      <c r="O637" s="80"/>
      <c r="P637" s="80"/>
    </row>
    <row r="638">
      <c r="K638" s="80"/>
      <c r="L638" s="80"/>
      <c r="M638" s="80"/>
      <c r="N638" s="80"/>
      <c r="O638" s="80"/>
      <c r="P638" s="80"/>
    </row>
    <row r="639">
      <c r="K639" s="80"/>
      <c r="L639" s="80"/>
      <c r="M639" s="80"/>
      <c r="N639" s="80"/>
      <c r="O639" s="80"/>
      <c r="P639" s="80"/>
    </row>
    <row r="640">
      <c r="K640" s="80"/>
      <c r="L640" s="80"/>
      <c r="M640" s="80"/>
      <c r="N640" s="80"/>
      <c r="O640" s="80"/>
      <c r="P640" s="80"/>
    </row>
    <row r="641">
      <c r="K641" s="80"/>
      <c r="L641" s="80"/>
      <c r="M641" s="80"/>
      <c r="N641" s="80"/>
      <c r="O641" s="80"/>
      <c r="P641" s="80"/>
    </row>
    <row r="642">
      <c r="K642" s="80"/>
      <c r="L642" s="80"/>
      <c r="M642" s="80"/>
      <c r="N642" s="80"/>
      <c r="O642" s="80"/>
      <c r="P642" s="80"/>
    </row>
    <row r="643">
      <c r="K643" s="80"/>
      <c r="L643" s="80"/>
      <c r="M643" s="80"/>
      <c r="N643" s="80"/>
      <c r="O643" s="80"/>
      <c r="P643" s="80"/>
    </row>
    <row r="644">
      <c r="K644" s="80"/>
      <c r="L644" s="80"/>
      <c r="M644" s="80"/>
      <c r="N644" s="80"/>
      <c r="O644" s="80"/>
      <c r="P644" s="80"/>
    </row>
    <row r="645">
      <c r="K645" s="80"/>
      <c r="L645" s="80"/>
      <c r="M645" s="80"/>
      <c r="N645" s="80"/>
      <c r="O645" s="80"/>
      <c r="P645" s="80"/>
    </row>
    <row r="646">
      <c r="K646" s="80"/>
      <c r="L646" s="80"/>
      <c r="M646" s="80"/>
      <c r="N646" s="80"/>
      <c r="O646" s="80"/>
      <c r="P646" s="80"/>
    </row>
    <row r="647">
      <c r="K647" s="80"/>
      <c r="L647" s="80"/>
      <c r="M647" s="80"/>
      <c r="N647" s="80"/>
      <c r="O647" s="80"/>
      <c r="P647" s="80"/>
    </row>
    <row r="648">
      <c r="K648" s="80"/>
      <c r="L648" s="80"/>
      <c r="M648" s="80"/>
      <c r="N648" s="80"/>
      <c r="O648" s="80"/>
      <c r="P648" s="80"/>
    </row>
    <row r="649">
      <c r="K649" s="80"/>
      <c r="L649" s="80"/>
      <c r="M649" s="80"/>
      <c r="N649" s="80"/>
      <c r="O649" s="80"/>
      <c r="P649" s="80"/>
    </row>
    <row r="650">
      <c r="K650" s="80"/>
      <c r="L650" s="80"/>
      <c r="M650" s="80"/>
      <c r="N650" s="80"/>
      <c r="O650" s="80"/>
      <c r="P650" s="80"/>
    </row>
    <row r="651">
      <c r="K651" s="80"/>
      <c r="L651" s="80"/>
      <c r="M651" s="80"/>
      <c r="N651" s="80"/>
      <c r="O651" s="80"/>
      <c r="P651" s="80"/>
    </row>
    <row r="652">
      <c r="K652" s="80"/>
      <c r="L652" s="80"/>
      <c r="M652" s="80"/>
      <c r="N652" s="80"/>
      <c r="O652" s="80"/>
      <c r="P652" s="80"/>
    </row>
    <row r="653">
      <c r="K653" s="80"/>
      <c r="L653" s="80"/>
      <c r="M653" s="80"/>
      <c r="N653" s="80"/>
      <c r="O653" s="80"/>
      <c r="P653" s="80"/>
    </row>
    <row r="654">
      <c r="K654" s="80"/>
      <c r="L654" s="80"/>
      <c r="M654" s="80"/>
      <c r="N654" s="80"/>
      <c r="O654" s="80"/>
      <c r="P654" s="80"/>
    </row>
    <row r="655">
      <c r="K655" s="80"/>
      <c r="L655" s="80"/>
      <c r="M655" s="80"/>
      <c r="N655" s="80"/>
      <c r="O655" s="80"/>
      <c r="P655" s="80"/>
    </row>
    <row r="656">
      <c r="K656" s="80"/>
      <c r="L656" s="80"/>
      <c r="M656" s="80"/>
      <c r="N656" s="80"/>
      <c r="O656" s="80"/>
      <c r="P656" s="80"/>
    </row>
    <row r="657">
      <c r="K657" s="80"/>
      <c r="L657" s="80"/>
      <c r="M657" s="80"/>
      <c r="N657" s="80"/>
      <c r="O657" s="80"/>
      <c r="P657" s="80"/>
    </row>
    <row r="658">
      <c r="K658" s="80"/>
      <c r="L658" s="80"/>
      <c r="M658" s="80"/>
      <c r="N658" s="80"/>
      <c r="O658" s="80"/>
      <c r="P658" s="80"/>
    </row>
    <row r="659">
      <c r="K659" s="80"/>
      <c r="L659" s="80"/>
      <c r="M659" s="80"/>
      <c r="N659" s="80"/>
      <c r="O659" s="80"/>
      <c r="P659" s="80"/>
    </row>
    <row r="660">
      <c r="K660" s="80"/>
      <c r="L660" s="80"/>
      <c r="M660" s="80"/>
      <c r="N660" s="80"/>
      <c r="O660" s="80"/>
      <c r="P660" s="80"/>
    </row>
    <row r="661">
      <c r="K661" s="80"/>
      <c r="L661" s="80"/>
      <c r="M661" s="80"/>
      <c r="N661" s="80"/>
      <c r="O661" s="80"/>
      <c r="P661" s="80"/>
    </row>
    <row r="662">
      <c r="K662" s="80"/>
      <c r="L662" s="80"/>
      <c r="M662" s="80"/>
      <c r="N662" s="80"/>
      <c r="O662" s="80"/>
      <c r="P662" s="80"/>
    </row>
    <row r="663">
      <c r="K663" s="80"/>
      <c r="L663" s="80"/>
      <c r="M663" s="80"/>
      <c r="N663" s="80"/>
      <c r="O663" s="80"/>
      <c r="P663" s="80"/>
    </row>
    <row r="664">
      <c r="K664" s="80"/>
      <c r="L664" s="80"/>
      <c r="M664" s="80"/>
      <c r="N664" s="80"/>
      <c r="O664" s="80"/>
      <c r="P664" s="80"/>
    </row>
    <row r="665">
      <c r="K665" s="80"/>
      <c r="L665" s="80"/>
      <c r="M665" s="80"/>
      <c r="N665" s="80"/>
      <c r="O665" s="80"/>
      <c r="P665" s="80"/>
    </row>
    <row r="666">
      <c r="K666" s="80"/>
      <c r="L666" s="80"/>
      <c r="M666" s="80"/>
      <c r="N666" s="80"/>
      <c r="O666" s="80"/>
      <c r="P666" s="80"/>
    </row>
    <row r="667">
      <c r="K667" s="80"/>
      <c r="L667" s="80"/>
      <c r="M667" s="80"/>
      <c r="N667" s="80"/>
      <c r="O667" s="80"/>
      <c r="P667" s="80"/>
    </row>
    <row r="668">
      <c r="K668" s="80"/>
      <c r="L668" s="80"/>
      <c r="M668" s="80"/>
      <c r="N668" s="80"/>
      <c r="O668" s="80"/>
      <c r="P668" s="80"/>
    </row>
    <row r="669">
      <c r="K669" s="80"/>
      <c r="L669" s="80"/>
      <c r="M669" s="80"/>
      <c r="N669" s="80"/>
      <c r="O669" s="80"/>
      <c r="P669" s="80"/>
    </row>
    <row r="670">
      <c r="K670" s="80"/>
      <c r="L670" s="80"/>
      <c r="M670" s="80"/>
      <c r="N670" s="80"/>
      <c r="O670" s="80"/>
      <c r="P670" s="80"/>
    </row>
    <row r="671">
      <c r="K671" s="80"/>
      <c r="L671" s="80"/>
      <c r="M671" s="80"/>
      <c r="N671" s="80"/>
      <c r="O671" s="80"/>
      <c r="P671" s="80"/>
    </row>
    <row r="672">
      <c r="K672" s="80"/>
      <c r="L672" s="80"/>
      <c r="M672" s="80"/>
      <c r="N672" s="80"/>
      <c r="O672" s="80"/>
      <c r="P672" s="80"/>
    </row>
    <row r="673">
      <c r="K673" s="80"/>
      <c r="L673" s="80"/>
      <c r="M673" s="80"/>
      <c r="N673" s="80"/>
      <c r="O673" s="80"/>
      <c r="P673" s="80"/>
    </row>
    <row r="674">
      <c r="K674" s="80"/>
      <c r="L674" s="80"/>
      <c r="M674" s="80"/>
      <c r="N674" s="80"/>
      <c r="O674" s="80"/>
      <c r="P674" s="80"/>
    </row>
    <row r="675">
      <c r="K675" s="80"/>
      <c r="L675" s="80"/>
      <c r="M675" s="80"/>
      <c r="N675" s="80"/>
      <c r="O675" s="80"/>
      <c r="P675" s="80"/>
    </row>
    <row r="676">
      <c r="K676" s="80"/>
      <c r="L676" s="80"/>
      <c r="M676" s="80"/>
      <c r="N676" s="80"/>
      <c r="O676" s="80"/>
      <c r="P676" s="80"/>
    </row>
    <row r="677">
      <c r="K677" s="80"/>
      <c r="L677" s="80"/>
      <c r="M677" s="80"/>
      <c r="N677" s="80"/>
      <c r="O677" s="80"/>
      <c r="P677" s="80"/>
    </row>
    <row r="678">
      <c r="K678" s="80"/>
      <c r="L678" s="80"/>
      <c r="M678" s="80"/>
      <c r="N678" s="80"/>
      <c r="O678" s="80"/>
      <c r="P678" s="80"/>
    </row>
    <row r="679">
      <c r="K679" s="80"/>
      <c r="L679" s="80"/>
      <c r="M679" s="80"/>
      <c r="N679" s="80"/>
      <c r="O679" s="80"/>
      <c r="P679" s="80"/>
    </row>
    <row r="680">
      <c r="K680" s="80"/>
      <c r="L680" s="80"/>
      <c r="M680" s="80"/>
      <c r="N680" s="80"/>
      <c r="O680" s="80"/>
      <c r="P680" s="80"/>
    </row>
    <row r="681">
      <c r="K681" s="80"/>
      <c r="L681" s="80"/>
      <c r="M681" s="80"/>
      <c r="N681" s="80"/>
      <c r="O681" s="80"/>
      <c r="P681" s="80"/>
    </row>
    <row r="682">
      <c r="K682" s="80"/>
      <c r="L682" s="80"/>
      <c r="M682" s="80"/>
      <c r="N682" s="80"/>
      <c r="O682" s="80"/>
      <c r="P682" s="80"/>
    </row>
    <row r="683">
      <c r="K683" s="80"/>
      <c r="L683" s="80"/>
      <c r="M683" s="80"/>
      <c r="N683" s="80"/>
      <c r="O683" s="80"/>
      <c r="P683" s="80"/>
    </row>
    <row r="684">
      <c r="K684" s="80"/>
      <c r="L684" s="80"/>
      <c r="M684" s="80"/>
      <c r="N684" s="80"/>
      <c r="O684" s="80"/>
      <c r="P684" s="80"/>
    </row>
    <row r="685">
      <c r="K685" s="80"/>
      <c r="L685" s="80"/>
      <c r="M685" s="80"/>
      <c r="N685" s="80"/>
      <c r="O685" s="80"/>
      <c r="P685" s="80"/>
    </row>
    <row r="686">
      <c r="K686" s="80"/>
      <c r="L686" s="80"/>
      <c r="M686" s="80"/>
      <c r="N686" s="80"/>
      <c r="O686" s="80"/>
      <c r="P686" s="80"/>
    </row>
    <row r="687">
      <c r="K687" s="80"/>
      <c r="L687" s="80"/>
      <c r="M687" s="80"/>
      <c r="N687" s="80"/>
      <c r="O687" s="80"/>
      <c r="P687" s="80"/>
    </row>
    <row r="688">
      <c r="K688" s="80"/>
      <c r="L688" s="80"/>
      <c r="M688" s="80"/>
      <c r="N688" s="80"/>
      <c r="O688" s="80"/>
      <c r="P688" s="80"/>
    </row>
    <row r="689">
      <c r="K689" s="80"/>
      <c r="L689" s="80"/>
      <c r="M689" s="80"/>
      <c r="N689" s="80"/>
      <c r="O689" s="80"/>
      <c r="P689" s="80"/>
    </row>
    <row r="690">
      <c r="K690" s="80"/>
      <c r="L690" s="80"/>
      <c r="M690" s="80"/>
      <c r="N690" s="80"/>
      <c r="O690" s="80"/>
      <c r="P690" s="80"/>
    </row>
    <row r="691">
      <c r="K691" s="80"/>
      <c r="L691" s="80"/>
      <c r="M691" s="80"/>
      <c r="N691" s="80"/>
      <c r="O691" s="80"/>
      <c r="P691" s="80"/>
    </row>
    <row r="692">
      <c r="K692" s="80"/>
      <c r="L692" s="80"/>
      <c r="M692" s="80"/>
      <c r="N692" s="80"/>
      <c r="O692" s="80"/>
      <c r="P692" s="80"/>
    </row>
    <row r="693">
      <c r="K693" s="80"/>
      <c r="L693" s="80"/>
      <c r="M693" s="80"/>
      <c r="N693" s="80"/>
      <c r="O693" s="80"/>
      <c r="P693" s="80"/>
    </row>
    <row r="694">
      <c r="K694" s="80"/>
      <c r="L694" s="80"/>
      <c r="M694" s="80"/>
      <c r="N694" s="80"/>
      <c r="O694" s="80"/>
      <c r="P694" s="80"/>
    </row>
    <row r="695">
      <c r="K695" s="80"/>
      <c r="L695" s="80"/>
      <c r="M695" s="80"/>
      <c r="N695" s="80"/>
      <c r="O695" s="80"/>
      <c r="P695" s="80"/>
    </row>
    <row r="696">
      <c r="K696" s="80"/>
      <c r="L696" s="80"/>
      <c r="M696" s="80"/>
      <c r="N696" s="80"/>
      <c r="O696" s="80"/>
      <c r="P696" s="80"/>
    </row>
    <row r="697">
      <c r="K697" s="80"/>
      <c r="L697" s="80"/>
      <c r="M697" s="80"/>
      <c r="N697" s="80"/>
      <c r="O697" s="80"/>
      <c r="P697" s="80"/>
    </row>
    <row r="698">
      <c r="K698" s="80"/>
      <c r="L698" s="80"/>
      <c r="M698" s="80"/>
      <c r="N698" s="80"/>
      <c r="O698" s="80"/>
      <c r="P698" s="80"/>
    </row>
    <row r="699">
      <c r="K699" s="80"/>
      <c r="L699" s="80"/>
      <c r="M699" s="80"/>
      <c r="N699" s="80"/>
      <c r="O699" s="80"/>
      <c r="P699" s="80"/>
    </row>
    <row r="700">
      <c r="K700" s="80"/>
      <c r="L700" s="80"/>
      <c r="M700" s="80"/>
      <c r="N700" s="80"/>
      <c r="O700" s="80"/>
      <c r="P700" s="80"/>
    </row>
    <row r="701">
      <c r="K701" s="80"/>
      <c r="L701" s="80"/>
      <c r="M701" s="80"/>
      <c r="N701" s="80"/>
      <c r="O701" s="80"/>
      <c r="P701" s="80"/>
    </row>
    <row r="702">
      <c r="K702" s="80"/>
      <c r="L702" s="80"/>
      <c r="M702" s="80"/>
      <c r="N702" s="80"/>
      <c r="O702" s="80"/>
      <c r="P702" s="80"/>
    </row>
    <row r="703">
      <c r="K703" s="80"/>
      <c r="L703" s="80"/>
      <c r="M703" s="80"/>
      <c r="N703" s="80"/>
      <c r="O703" s="80"/>
      <c r="P703" s="80"/>
    </row>
    <row r="704">
      <c r="K704" s="80"/>
      <c r="L704" s="80"/>
      <c r="M704" s="80"/>
      <c r="N704" s="80"/>
      <c r="O704" s="80"/>
      <c r="P704" s="80"/>
    </row>
    <row r="705">
      <c r="K705" s="80"/>
      <c r="L705" s="80"/>
      <c r="M705" s="80"/>
      <c r="N705" s="80"/>
      <c r="O705" s="80"/>
      <c r="P705" s="80"/>
    </row>
    <row r="706">
      <c r="K706" s="80"/>
      <c r="L706" s="80"/>
      <c r="M706" s="80"/>
      <c r="N706" s="80"/>
      <c r="O706" s="80"/>
      <c r="P706" s="80"/>
    </row>
    <row r="707">
      <c r="K707" s="80"/>
      <c r="L707" s="80"/>
      <c r="M707" s="80"/>
      <c r="N707" s="80"/>
      <c r="O707" s="80"/>
      <c r="P707" s="80"/>
    </row>
    <row r="708">
      <c r="K708" s="80"/>
      <c r="L708" s="80"/>
      <c r="M708" s="80"/>
      <c r="N708" s="80"/>
      <c r="O708" s="80"/>
      <c r="P708" s="80"/>
    </row>
    <row r="709">
      <c r="K709" s="80"/>
      <c r="L709" s="80"/>
      <c r="M709" s="80"/>
      <c r="N709" s="80"/>
      <c r="O709" s="80"/>
      <c r="P709" s="80"/>
    </row>
    <row r="710">
      <c r="K710" s="80"/>
      <c r="L710" s="80"/>
      <c r="M710" s="80"/>
      <c r="N710" s="80"/>
      <c r="O710" s="80"/>
      <c r="P710" s="80"/>
    </row>
    <row r="711">
      <c r="K711" s="80"/>
      <c r="L711" s="80"/>
      <c r="M711" s="80"/>
      <c r="N711" s="80"/>
      <c r="O711" s="80"/>
      <c r="P711" s="80"/>
    </row>
    <row r="712">
      <c r="K712" s="80"/>
      <c r="L712" s="80"/>
      <c r="M712" s="80"/>
      <c r="N712" s="80"/>
      <c r="O712" s="80"/>
      <c r="P712" s="80"/>
    </row>
    <row r="713">
      <c r="K713" s="80"/>
      <c r="L713" s="80"/>
      <c r="M713" s="80"/>
      <c r="N713" s="80"/>
      <c r="O713" s="80"/>
      <c r="P713" s="80"/>
    </row>
    <row r="714">
      <c r="K714" s="80"/>
      <c r="L714" s="80"/>
      <c r="M714" s="80"/>
      <c r="N714" s="80"/>
      <c r="O714" s="80"/>
      <c r="P714" s="80"/>
    </row>
    <row r="715">
      <c r="K715" s="80"/>
      <c r="L715" s="80"/>
      <c r="M715" s="80"/>
      <c r="N715" s="80"/>
      <c r="O715" s="80"/>
      <c r="P715" s="80"/>
    </row>
    <row r="716">
      <c r="K716" s="80"/>
      <c r="L716" s="80"/>
      <c r="M716" s="80"/>
      <c r="N716" s="80"/>
      <c r="O716" s="80"/>
      <c r="P716" s="80"/>
    </row>
    <row r="717">
      <c r="K717" s="80"/>
      <c r="L717" s="80"/>
      <c r="M717" s="80"/>
      <c r="N717" s="80"/>
      <c r="O717" s="80"/>
      <c r="P717" s="80"/>
    </row>
    <row r="718">
      <c r="K718" s="80"/>
      <c r="L718" s="80"/>
      <c r="M718" s="80"/>
      <c r="N718" s="80"/>
      <c r="O718" s="80"/>
      <c r="P718" s="80"/>
    </row>
    <row r="719">
      <c r="K719" s="80"/>
      <c r="L719" s="80"/>
      <c r="M719" s="80"/>
      <c r="N719" s="80"/>
      <c r="O719" s="80"/>
      <c r="P719" s="80"/>
    </row>
    <row r="720">
      <c r="K720" s="80"/>
      <c r="L720" s="80"/>
      <c r="M720" s="80"/>
      <c r="N720" s="80"/>
      <c r="O720" s="80"/>
      <c r="P720" s="80"/>
    </row>
    <row r="721">
      <c r="K721" s="80"/>
      <c r="L721" s="80"/>
      <c r="M721" s="80"/>
      <c r="N721" s="80"/>
      <c r="O721" s="80"/>
      <c r="P721" s="80"/>
    </row>
    <row r="722">
      <c r="K722" s="80"/>
      <c r="L722" s="80"/>
      <c r="M722" s="80"/>
      <c r="N722" s="80"/>
      <c r="O722" s="80"/>
      <c r="P722" s="80"/>
    </row>
    <row r="723">
      <c r="K723" s="80"/>
      <c r="L723" s="80"/>
      <c r="M723" s="80"/>
      <c r="N723" s="80"/>
      <c r="O723" s="80"/>
      <c r="P723" s="80"/>
    </row>
    <row r="724">
      <c r="K724" s="80"/>
      <c r="L724" s="80"/>
      <c r="M724" s="80"/>
      <c r="N724" s="80"/>
      <c r="O724" s="80"/>
      <c r="P724" s="80"/>
    </row>
    <row r="725">
      <c r="K725" s="80"/>
      <c r="L725" s="80"/>
      <c r="M725" s="80"/>
      <c r="N725" s="80"/>
      <c r="O725" s="80"/>
      <c r="P725" s="80"/>
    </row>
    <row r="726">
      <c r="K726" s="80"/>
      <c r="L726" s="80"/>
      <c r="M726" s="80"/>
      <c r="N726" s="80"/>
      <c r="O726" s="80"/>
      <c r="P726" s="80"/>
    </row>
    <row r="727">
      <c r="K727" s="80"/>
      <c r="L727" s="80"/>
      <c r="M727" s="80"/>
      <c r="N727" s="80"/>
      <c r="O727" s="80"/>
      <c r="P727" s="80"/>
    </row>
    <row r="728">
      <c r="K728" s="80"/>
      <c r="L728" s="80"/>
      <c r="M728" s="80"/>
      <c r="N728" s="80"/>
      <c r="O728" s="80"/>
      <c r="P728" s="80"/>
    </row>
    <row r="729">
      <c r="K729" s="80"/>
      <c r="L729" s="80"/>
      <c r="M729" s="80"/>
      <c r="N729" s="80"/>
      <c r="O729" s="80"/>
      <c r="P729" s="80"/>
    </row>
    <row r="730">
      <c r="K730" s="80"/>
      <c r="L730" s="80"/>
      <c r="M730" s="80"/>
      <c r="N730" s="80"/>
      <c r="O730" s="80"/>
      <c r="P730" s="80"/>
    </row>
    <row r="731">
      <c r="K731" s="80"/>
      <c r="L731" s="80"/>
      <c r="M731" s="80"/>
      <c r="N731" s="80"/>
      <c r="O731" s="80"/>
      <c r="P731" s="80"/>
    </row>
    <row r="732">
      <c r="K732" s="80"/>
      <c r="L732" s="80"/>
      <c r="M732" s="80"/>
      <c r="N732" s="80"/>
      <c r="O732" s="80"/>
      <c r="P732" s="80"/>
    </row>
    <row r="733">
      <c r="K733" s="80"/>
      <c r="L733" s="80"/>
      <c r="M733" s="80"/>
      <c r="N733" s="80"/>
      <c r="O733" s="80"/>
      <c r="P733" s="80"/>
    </row>
    <row r="734">
      <c r="K734" s="80"/>
      <c r="L734" s="80"/>
      <c r="M734" s="80"/>
      <c r="N734" s="80"/>
      <c r="O734" s="80"/>
      <c r="P734" s="80"/>
    </row>
    <row r="735">
      <c r="K735" s="80"/>
      <c r="L735" s="80"/>
      <c r="M735" s="80"/>
      <c r="N735" s="80"/>
      <c r="O735" s="80"/>
      <c r="P735" s="80"/>
    </row>
    <row r="736">
      <c r="K736" s="80"/>
      <c r="L736" s="80"/>
      <c r="M736" s="80"/>
      <c r="N736" s="80"/>
      <c r="O736" s="80"/>
      <c r="P736" s="80"/>
    </row>
    <row r="737">
      <c r="K737" s="80"/>
      <c r="L737" s="80"/>
      <c r="M737" s="80"/>
      <c r="N737" s="80"/>
      <c r="O737" s="80"/>
      <c r="P737" s="80"/>
    </row>
    <row r="738">
      <c r="K738" s="80"/>
      <c r="L738" s="80"/>
      <c r="M738" s="80"/>
      <c r="N738" s="80"/>
      <c r="O738" s="80"/>
      <c r="P738" s="80"/>
    </row>
    <row r="739">
      <c r="K739" s="80"/>
      <c r="L739" s="80"/>
      <c r="M739" s="80"/>
      <c r="N739" s="80"/>
      <c r="O739" s="80"/>
      <c r="P739" s="80"/>
    </row>
    <row r="740">
      <c r="K740" s="80"/>
      <c r="L740" s="80"/>
      <c r="M740" s="80"/>
      <c r="N740" s="80"/>
      <c r="O740" s="80"/>
      <c r="P740" s="80"/>
    </row>
    <row r="741">
      <c r="K741" s="80"/>
      <c r="L741" s="80"/>
      <c r="M741" s="80"/>
      <c r="N741" s="80"/>
      <c r="O741" s="80"/>
      <c r="P741" s="80"/>
    </row>
    <row r="742">
      <c r="K742" s="80"/>
      <c r="L742" s="80"/>
      <c r="M742" s="80"/>
      <c r="N742" s="80"/>
      <c r="O742" s="80"/>
      <c r="P742" s="80"/>
    </row>
    <row r="743">
      <c r="K743" s="80"/>
      <c r="L743" s="80"/>
      <c r="M743" s="80"/>
      <c r="N743" s="80"/>
      <c r="O743" s="80"/>
      <c r="P743" s="80"/>
    </row>
    <row r="744">
      <c r="K744" s="80"/>
      <c r="L744" s="80"/>
      <c r="M744" s="80"/>
      <c r="N744" s="80"/>
      <c r="O744" s="80"/>
      <c r="P744" s="80"/>
    </row>
    <row r="745">
      <c r="K745" s="80"/>
      <c r="L745" s="80"/>
      <c r="M745" s="80"/>
      <c r="N745" s="80"/>
      <c r="O745" s="80"/>
      <c r="P745" s="80"/>
    </row>
    <row r="746">
      <c r="K746" s="80"/>
      <c r="L746" s="80"/>
      <c r="M746" s="80"/>
      <c r="N746" s="80"/>
      <c r="O746" s="80"/>
      <c r="P746" s="80"/>
    </row>
    <row r="747">
      <c r="K747" s="80"/>
      <c r="L747" s="80"/>
      <c r="M747" s="80"/>
      <c r="N747" s="80"/>
      <c r="O747" s="80"/>
      <c r="P747" s="80"/>
    </row>
    <row r="748">
      <c r="K748" s="80"/>
      <c r="L748" s="80"/>
      <c r="M748" s="80"/>
      <c r="N748" s="80"/>
      <c r="O748" s="80"/>
      <c r="P748" s="80"/>
    </row>
    <row r="749">
      <c r="K749" s="80"/>
      <c r="L749" s="80"/>
      <c r="M749" s="80"/>
      <c r="N749" s="80"/>
      <c r="O749" s="80"/>
      <c r="P749" s="80"/>
    </row>
    <row r="750">
      <c r="K750" s="80"/>
      <c r="L750" s="80"/>
      <c r="M750" s="80"/>
      <c r="N750" s="80"/>
      <c r="O750" s="80"/>
      <c r="P750" s="80"/>
    </row>
    <row r="751">
      <c r="K751" s="80"/>
      <c r="L751" s="80"/>
      <c r="M751" s="80"/>
      <c r="N751" s="80"/>
      <c r="O751" s="80"/>
      <c r="P751" s="80"/>
    </row>
    <row r="752">
      <c r="K752" s="80"/>
      <c r="L752" s="80"/>
      <c r="M752" s="80"/>
      <c r="N752" s="80"/>
      <c r="O752" s="80"/>
      <c r="P752" s="80"/>
    </row>
    <row r="753">
      <c r="K753" s="80"/>
      <c r="L753" s="80"/>
      <c r="M753" s="80"/>
      <c r="N753" s="80"/>
      <c r="O753" s="80"/>
      <c r="P753" s="80"/>
    </row>
    <row r="754">
      <c r="K754" s="80"/>
      <c r="L754" s="80"/>
      <c r="M754" s="80"/>
      <c r="N754" s="80"/>
      <c r="O754" s="80"/>
      <c r="P754" s="80"/>
    </row>
    <row r="755">
      <c r="K755" s="80"/>
      <c r="L755" s="80"/>
      <c r="M755" s="80"/>
      <c r="N755" s="80"/>
      <c r="O755" s="80"/>
      <c r="P755" s="80"/>
    </row>
    <row r="756">
      <c r="K756" s="80"/>
      <c r="L756" s="80"/>
      <c r="M756" s="80"/>
      <c r="N756" s="80"/>
      <c r="O756" s="80"/>
      <c r="P756" s="80"/>
    </row>
    <row r="757">
      <c r="K757" s="80"/>
      <c r="L757" s="80"/>
      <c r="M757" s="80"/>
      <c r="N757" s="80"/>
      <c r="O757" s="80"/>
      <c r="P757" s="80"/>
    </row>
    <row r="758">
      <c r="K758" s="80"/>
      <c r="L758" s="80"/>
      <c r="M758" s="80"/>
      <c r="N758" s="80"/>
      <c r="O758" s="80"/>
      <c r="P758" s="80"/>
    </row>
    <row r="759">
      <c r="K759" s="80"/>
      <c r="L759" s="80"/>
      <c r="M759" s="80"/>
      <c r="N759" s="80"/>
      <c r="O759" s="80"/>
      <c r="P759" s="80"/>
    </row>
    <row r="760">
      <c r="K760" s="80"/>
      <c r="L760" s="80"/>
      <c r="M760" s="80"/>
      <c r="N760" s="80"/>
      <c r="O760" s="80"/>
      <c r="P760" s="80"/>
    </row>
    <row r="761">
      <c r="K761" s="80"/>
      <c r="L761" s="80"/>
      <c r="M761" s="80"/>
      <c r="N761" s="80"/>
      <c r="O761" s="80"/>
      <c r="P761" s="80"/>
    </row>
    <row r="762">
      <c r="K762" s="80"/>
      <c r="L762" s="80"/>
      <c r="M762" s="80"/>
      <c r="N762" s="80"/>
      <c r="O762" s="80"/>
      <c r="P762" s="80"/>
    </row>
    <row r="763">
      <c r="K763" s="80"/>
      <c r="L763" s="80"/>
      <c r="M763" s="80"/>
      <c r="N763" s="80"/>
      <c r="O763" s="80"/>
      <c r="P763" s="80"/>
    </row>
    <row r="764">
      <c r="K764" s="80"/>
      <c r="L764" s="80"/>
      <c r="M764" s="80"/>
      <c r="N764" s="80"/>
      <c r="O764" s="80"/>
      <c r="P764" s="80"/>
    </row>
    <row r="765">
      <c r="K765" s="80"/>
      <c r="L765" s="80"/>
      <c r="M765" s="80"/>
      <c r="N765" s="80"/>
      <c r="O765" s="80"/>
      <c r="P765" s="80"/>
    </row>
    <row r="766">
      <c r="K766" s="80"/>
      <c r="L766" s="80"/>
      <c r="M766" s="80"/>
      <c r="N766" s="80"/>
      <c r="O766" s="80"/>
      <c r="P766" s="80"/>
    </row>
    <row r="767">
      <c r="K767" s="80"/>
      <c r="L767" s="80"/>
      <c r="M767" s="80"/>
      <c r="N767" s="80"/>
      <c r="O767" s="80"/>
      <c r="P767" s="80"/>
    </row>
    <row r="768">
      <c r="K768" s="80"/>
      <c r="L768" s="80"/>
      <c r="M768" s="80"/>
      <c r="N768" s="80"/>
      <c r="O768" s="80"/>
      <c r="P768" s="80"/>
    </row>
    <row r="769">
      <c r="K769" s="80"/>
      <c r="L769" s="80"/>
      <c r="M769" s="80"/>
      <c r="N769" s="80"/>
      <c r="O769" s="80"/>
      <c r="P769" s="80"/>
    </row>
    <row r="770">
      <c r="K770" s="80"/>
      <c r="L770" s="80"/>
      <c r="M770" s="80"/>
      <c r="N770" s="80"/>
      <c r="O770" s="80"/>
      <c r="P770" s="80"/>
    </row>
    <row r="771">
      <c r="K771" s="80"/>
      <c r="L771" s="80"/>
      <c r="M771" s="80"/>
      <c r="N771" s="80"/>
      <c r="O771" s="80"/>
      <c r="P771" s="80"/>
    </row>
    <row r="772">
      <c r="K772" s="80"/>
      <c r="L772" s="80"/>
      <c r="M772" s="80"/>
      <c r="N772" s="80"/>
      <c r="O772" s="80"/>
      <c r="P772" s="80"/>
    </row>
    <row r="773">
      <c r="K773" s="80"/>
      <c r="L773" s="80"/>
      <c r="M773" s="80"/>
      <c r="N773" s="80"/>
      <c r="O773" s="80"/>
      <c r="P773" s="80"/>
    </row>
    <row r="774">
      <c r="K774" s="80"/>
      <c r="L774" s="80"/>
      <c r="M774" s="80"/>
      <c r="N774" s="80"/>
      <c r="O774" s="80"/>
      <c r="P774" s="80"/>
    </row>
    <row r="775">
      <c r="K775" s="80"/>
      <c r="L775" s="80"/>
      <c r="M775" s="80"/>
      <c r="N775" s="80"/>
      <c r="O775" s="80"/>
      <c r="P775" s="80"/>
    </row>
    <row r="776">
      <c r="K776" s="80"/>
      <c r="L776" s="80"/>
      <c r="M776" s="80"/>
      <c r="N776" s="80"/>
      <c r="O776" s="80"/>
      <c r="P776" s="80"/>
    </row>
    <row r="777">
      <c r="K777" s="80"/>
      <c r="L777" s="80"/>
      <c r="M777" s="80"/>
      <c r="N777" s="80"/>
      <c r="O777" s="80"/>
      <c r="P777" s="80"/>
    </row>
    <row r="778">
      <c r="K778" s="80"/>
      <c r="L778" s="80"/>
      <c r="M778" s="80"/>
      <c r="N778" s="80"/>
      <c r="O778" s="80"/>
      <c r="P778" s="80"/>
    </row>
    <row r="779">
      <c r="K779" s="80"/>
      <c r="L779" s="80"/>
      <c r="M779" s="80"/>
      <c r="N779" s="80"/>
      <c r="O779" s="80"/>
      <c r="P779" s="80"/>
    </row>
    <row r="780">
      <c r="K780" s="80"/>
      <c r="L780" s="80"/>
      <c r="M780" s="80"/>
      <c r="N780" s="80"/>
      <c r="O780" s="80"/>
      <c r="P780" s="80"/>
    </row>
    <row r="781">
      <c r="K781" s="80"/>
      <c r="L781" s="80"/>
      <c r="M781" s="80"/>
      <c r="N781" s="80"/>
      <c r="O781" s="80"/>
      <c r="P781" s="80"/>
    </row>
    <row r="782">
      <c r="K782" s="80"/>
      <c r="L782" s="80"/>
      <c r="M782" s="80"/>
      <c r="N782" s="80"/>
      <c r="O782" s="80"/>
      <c r="P782" s="80"/>
    </row>
    <row r="783">
      <c r="K783" s="80"/>
      <c r="L783" s="80"/>
      <c r="M783" s="80"/>
      <c r="N783" s="80"/>
      <c r="O783" s="80"/>
      <c r="P783" s="80"/>
    </row>
    <row r="784">
      <c r="K784" s="80"/>
      <c r="L784" s="80"/>
      <c r="M784" s="80"/>
      <c r="N784" s="80"/>
      <c r="O784" s="80"/>
      <c r="P784" s="80"/>
    </row>
    <row r="785">
      <c r="K785" s="80"/>
      <c r="L785" s="80"/>
      <c r="M785" s="80"/>
      <c r="N785" s="80"/>
      <c r="O785" s="80"/>
      <c r="P785" s="80"/>
    </row>
    <row r="786">
      <c r="K786" s="80"/>
      <c r="L786" s="80"/>
      <c r="M786" s="80"/>
      <c r="N786" s="80"/>
      <c r="O786" s="80"/>
      <c r="P786" s="80"/>
    </row>
    <row r="787">
      <c r="K787" s="80"/>
      <c r="L787" s="80"/>
      <c r="M787" s="80"/>
      <c r="N787" s="80"/>
      <c r="O787" s="80"/>
      <c r="P787" s="80"/>
    </row>
    <row r="788">
      <c r="K788" s="80"/>
      <c r="L788" s="80"/>
      <c r="M788" s="80"/>
      <c r="N788" s="80"/>
      <c r="O788" s="80"/>
      <c r="P788" s="80"/>
    </row>
    <row r="789">
      <c r="K789" s="80"/>
      <c r="L789" s="80"/>
      <c r="M789" s="80"/>
      <c r="N789" s="80"/>
      <c r="O789" s="80"/>
      <c r="P789" s="80"/>
    </row>
    <row r="790">
      <c r="K790" s="80"/>
      <c r="L790" s="80"/>
      <c r="M790" s="80"/>
      <c r="N790" s="80"/>
      <c r="O790" s="80"/>
      <c r="P790" s="80"/>
    </row>
    <row r="791">
      <c r="K791" s="80"/>
      <c r="L791" s="80"/>
      <c r="M791" s="80"/>
      <c r="N791" s="80"/>
      <c r="O791" s="80"/>
      <c r="P791" s="80"/>
    </row>
    <row r="792">
      <c r="K792" s="80"/>
      <c r="L792" s="80"/>
      <c r="M792" s="80"/>
      <c r="N792" s="80"/>
      <c r="O792" s="80"/>
      <c r="P792" s="80"/>
    </row>
    <row r="793">
      <c r="K793" s="80"/>
      <c r="L793" s="80"/>
      <c r="M793" s="80"/>
      <c r="N793" s="80"/>
      <c r="O793" s="80"/>
      <c r="P793" s="80"/>
    </row>
    <row r="794">
      <c r="K794" s="80"/>
      <c r="L794" s="80"/>
      <c r="M794" s="80"/>
      <c r="N794" s="80"/>
      <c r="O794" s="80"/>
      <c r="P794" s="80"/>
    </row>
    <row r="795">
      <c r="K795" s="80"/>
      <c r="L795" s="80"/>
      <c r="M795" s="80"/>
      <c r="N795" s="80"/>
      <c r="O795" s="80"/>
      <c r="P795" s="80"/>
    </row>
    <row r="796">
      <c r="K796" s="80"/>
      <c r="L796" s="80"/>
      <c r="M796" s="80"/>
      <c r="N796" s="80"/>
      <c r="O796" s="80"/>
      <c r="P796" s="80"/>
    </row>
    <row r="797">
      <c r="K797" s="80"/>
      <c r="L797" s="80"/>
      <c r="M797" s="80"/>
      <c r="N797" s="80"/>
      <c r="O797" s="80"/>
      <c r="P797" s="80"/>
    </row>
    <row r="798">
      <c r="K798" s="80"/>
      <c r="L798" s="80"/>
      <c r="M798" s="80"/>
      <c r="N798" s="80"/>
      <c r="O798" s="80"/>
      <c r="P798" s="80"/>
    </row>
    <row r="799">
      <c r="K799" s="80"/>
      <c r="L799" s="80"/>
      <c r="M799" s="80"/>
      <c r="N799" s="80"/>
      <c r="O799" s="80"/>
      <c r="P799" s="80"/>
    </row>
    <row r="800">
      <c r="K800" s="80"/>
      <c r="L800" s="80"/>
      <c r="M800" s="80"/>
      <c r="N800" s="80"/>
      <c r="O800" s="80"/>
      <c r="P800" s="80"/>
    </row>
    <row r="801">
      <c r="K801" s="80"/>
      <c r="L801" s="80"/>
      <c r="M801" s="80"/>
      <c r="N801" s="80"/>
      <c r="O801" s="80"/>
      <c r="P801" s="80"/>
    </row>
    <row r="802">
      <c r="K802" s="80"/>
      <c r="L802" s="80"/>
      <c r="M802" s="80"/>
      <c r="N802" s="80"/>
      <c r="O802" s="80"/>
      <c r="P802" s="80"/>
    </row>
    <row r="803">
      <c r="K803" s="80"/>
      <c r="L803" s="80"/>
      <c r="M803" s="80"/>
      <c r="N803" s="80"/>
      <c r="O803" s="80"/>
      <c r="P803" s="80"/>
    </row>
    <row r="804">
      <c r="K804" s="80"/>
      <c r="L804" s="80"/>
      <c r="M804" s="80"/>
      <c r="N804" s="80"/>
      <c r="O804" s="80"/>
      <c r="P804" s="80"/>
    </row>
    <row r="805">
      <c r="K805" s="80"/>
      <c r="L805" s="80"/>
      <c r="M805" s="80"/>
      <c r="N805" s="80"/>
      <c r="O805" s="80"/>
      <c r="P805" s="80"/>
    </row>
    <row r="806">
      <c r="K806" s="80"/>
      <c r="L806" s="80"/>
      <c r="M806" s="80"/>
      <c r="N806" s="80"/>
      <c r="O806" s="80"/>
      <c r="P806" s="80"/>
    </row>
    <row r="807">
      <c r="K807" s="80"/>
      <c r="L807" s="80"/>
      <c r="M807" s="80"/>
      <c r="N807" s="80"/>
      <c r="O807" s="80"/>
      <c r="P807" s="80"/>
    </row>
    <row r="808">
      <c r="K808" s="80"/>
      <c r="L808" s="80"/>
      <c r="M808" s="80"/>
      <c r="N808" s="80"/>
      <c r="O808" s="80"/>
      <c r="P808" s="80"/>
    </row>
    <row r="809">
      <c r="K809" s="80"/>
      <c r="L809" s="80"/>
      <c r="M809" s="80"/>
      <c r="N809" s="80"/>
      <c r="O809" s="80"/>
      <c r="P809" s="80"/>
    </row>
    <row r="810">
      <c r="K810" s="80"/>
      <c r="L810" s="80"/>
      <c r="M810" s="80"/>
      <c r="N810" s="80"/>
      <c r="O810" s="80"/>
      <c r="P810" s="80"/>
    </row>
    <row r="811">
      <c r="K811" s="80"/>
      <c r="L811" s="80"/>
      <c r="M811" s="80"/>
      <c r="N811" s="80"/>
      <c r="O811" s="80"/>
      <c r="P811" s="80"/>
    </row>
    <row r="812">
      <c r="K812" s="80"/>
      <c r="L812" s="80"/>
      <c r="M812" s="80"/>
      <c r="N812" s="80"/>
      <c r="O812" s="80"/>
      <c r="P812" s="80"/>
    </row>
    <row r="813">
      <c r="K813" s="80"/>
      <c r="L813" s="80"/>
      <c r="M813" s="80"/>
      <c r="N813" s="80"/>
      <c r="O813" s="80"/>
      <c r="P813" s="80"/>
    </row>
    <row r="814">
      <c r="K814" s="80"/>
      <c r="L814" s="80"/>
      <c r="M814" s="80"/>
      <c r="N814" s="80"/>
      <c r="O814" s="80"/>
      <c r="P814" s="80"/>
    </row>
    <row r="815">
      <c r="K815" s="80"/>
      <c r="L815" s="80"/>
      <c r="M815" s="80"/>
      <c r="N815" s="80"/>
      <c r="O815" s="80"/>
      <c r="P815" s="80"/>
    </row>
    <row r="816">
      <c r="K816" s="80"/>
      <c r="L816" s="80"/>
      <c r="M816" s="80"/>
      <c r="N816" s="80"/>
      <c r="O816" s="80"/>
      <c r="P816" s="80"/>
    </row>
    <row r="817">
      <c r="K817" s="80"/>
      <c r="L817" s="80"/>
      <c r="M817" s="80"/>
      <c r="N817" s="80"/>
      <c r="O817" s="80"/>
      <c r="P817" s="80"/>
    </row>
    <row r="818">
      <c r="K818" s="80"/>
      <c r="L818" s="80"/>
      <c r="M818" s="80"/>
      <c r="N818" s="80"/>
      <c r="O818" s="80"/>
      <c r="P818" s="80"/>
    </row>
    <row r="819">
      <c r="K819" s="80"/>
      <c r="L819" s="80"/>
      <c r="M819" s="80"/>
      <c r="N819" s="80"/>
      <c r="O819" s="80"/>
      <c r="P819" s="80"/>
    </row>
    <row r="820">
      <c r="K820" s="80"/>
      <c r="L820" s="80"/>
      <c r="M820" s="80"/>
      <c r="N820" s="80"/>
      <c r="O820" s="80"/>
      <c r="P820" s="80"/>
    </row>
    <row r="821">
      <c r="K821" s="80"/>
      <c r="L821" s="80"/>
      <c r="M821" s="80"/>
      <c r="N821" s="80"/>
      <c r="O821" s="80"/>
      <c r="P821" s="80"/>
    </row>
    <row r="822">
      <c r="K822" s="80"/>
      <c r="L822" s="80"/>
      <c r="M822" s="80"/>
      <c r="N822" s="80"/>
      <c r="O822" s="80"/>
      <c r="P822" s="80"/>
    </row>
    <row r="823">
      <c r="K823" s="80"/>
      <c r="L823" s="80"/>
      <c r="M823" s="80"/>
      <c r="N823" s="80"/>
      <c r="O823" s="80"/>
      <c r="P823" s="80"/>
    </row>
    <row r="824">
      <c r="K824" s="80"/>
      <c r="L824" s="80"/>
      <c r="M824" s="80"/>
      <c r="N824" s="80"/>
      <c r="O824" s="80"/>
      <c r="P824" s="80"/>
    </row>
    <row r="825">
      <c r="K825" s="80"/>
      <c r="L825" s="80"/>
      <c r="M825" s="80"/>
      <c r="N825" s="80"/>
      <c r="O825" s="80"/>
      <c r="P825" s="80"/>
    </row>
    <row r="826">
      <c r="K826" s="80"/>
      <c r="L826" s="80"/>
      <c r="M826" s="80"/>
      <c r="N826" s="80"/>
      <c r="O826" s="80"/>
      <c r="P826" s="80"/>
    </row>
    <row r="827">
      <c r="K827" s="80"/>
      <c r="L827" s="80"/>
      <c r="M827" s="80"/>
      <c r="N827" s="80"/>
      <c r="O827" s="80"/>
      <c r="P827" s="80"/>
    </row>
    <row r="828">
      <c r="K828" s="80"/>
      <c r="L828" s="80"/>
      <c r="M828" s="80"/>
      <c r="N828" s="80"/>
      <c r="O828" s="80"/>
      <c r="P828" s="80"/>
    </row>
    <row r="829">
      <c r="K829" s="80"/>
      <c r="L829" s="80"/>
      <c r="M829" s="80"/>
      <c r="N829" s="80"/>
      <c r="O829" s="80"/>
      <c r="P829" s="80"/>
    </row>
    <row r="830">
      <c r="K830" s="80"/>
      <c r="L830" s="80"/>
      <c r="M830" s="80"/>
      <c r="N830" s="80"/>
      <c r="O830" s="80"/>
      <c r="P830" s="80"/>
    </row>
    <row r="831">
      <c r="K831" s="80"/>
      <c r="L831" s="80"/>
      <c r="M831" s="80"/>
      <c r="N831" s="80"/>
      <c r="O831" s="80"/>
      <c r="P831" s="80"/>
    </row>
    <row r="832">
      <c r="K832" s="80"/>
      <c r="L832" s="80"/>
      <c r="M832" s="80"/>
      <c r="N832" s="80"/>
      <c r="O832" s="80"/>
      <c r="P832" s="80"/>
    </row>
    <row r="833">
      <c r="K833" s="80"/>
      <c r="L833" s="80"/>
      <c r="M833" s="80"/>
      <c r="N833" s="80"/>
      <c r="O833" s="80"/>
      <c r="P833" s="80"/>
    </row>
    <row r="834">
      <c r="K834" s="80"/>
      <c r="L834" s="80"/>
      <c r="M834" s="80"/>
      <c r="N834" s="80"/>
      <c r="O834" s="80"/>
      <c r="P834" s="80"/>
    </row>
    <row r="835">
      <c r="K835" s="80"/>
      <c r="L835" s="80"/>
      <c r="M835" s="80"/>
      <c r="N835" s="80"/>
      <c r="O835" s="80"/>
      <c r="P835" s="80"/>
    </row>
    <row r="836">
      <c r="K836" s="80"/>
      <c r="L836" s="80"/>
      <c r="M836" s="80"/>
      <c r="N836" s="80"/>
      <c r="O836" s="80"/>
      <c r="P836" s="80"/>
    </row>
    <row r="837">
      <c r="K837" s="80"/>
      <c r="L837" s="80"/>
      <c r="M837" s="80"/>
      <c r="N837" s="80"/>
      <c r="O837" s="80"/>
      <c r="P837" s="80"/>
    </row>
    <row r="838">
      <c r="K838" s="80"/>
      <c r="L838" s="80"/>
      <c r="M838" s="80"/>
      <c r="N838" s="80"/>
      <c r="O838" s="80"/>
      <c r="P838" s="80"/>
    </row>
    <row r="839">
      <c r="K839" s="80"/>
      <c r="L839" s="80"/>
      <c r="M839" s="80"/>
      <c r="N839" s="80"/>
      <c r="O839" s="80"/>
      <c r="P839" s="80"/>
    </row>
    <row r="840">
      <c r="K840" s="80"/>
      <c r="L840" s="80"/>
      <c r="M840" s="80"/>
      <c r="N840" s="80"/>
      <c r="O840" s="80"/>
      <c r="P840" s="80"/>
    </row>
    <row r="841">
      <c r="K841" s="80"/>
      <c r="L841" s="80"/>
      <c r="M841" s="80"/>
      <c r="N841" s="80"/>
      <c r="O841" s="80"/>
      <c r="P841" s="80"/>
    </row>
    <row r="842">
      <c r="K842" s="80"/>
      <c r="L842" s="80"/>
      <c r="M842" s="80"/>
      <c r="N842" s="80"/>
      <c r="O842" s="80"/>
      <c r="P842" s="80"/>
    </row>
    <row r="843">
      <c r="K843" s="80"/>
      <c r="L843" s="80"/>
      <c r="M843" s="80"/>
      <c r="N843" s="80"/>
      <c r="O843" s="80"/>
      <c r="P843" s="80"/>
    </row>
    <row r="844">
      <c r="K844" s="80"/>
      <c r="L844" s="80"/>
      <c r="M844" s="80"/>
      <c r="N844" s="80"/>
      <c r="O844" s="80"/>
      <c r="P844" s="80"/>
    </row>
    <row r="845">
      <c r="K845" s="80"/>
      <c r="L845" s="80"/>
      <c r="M845" s="80"/>
      <c r="N845" s="80"/>
      <c r="O845" s="80"/>
      <c r="P845" s="80"/>
    </row>
    <row r="846">
      <c r="K846" s="80"/>
      <c r="L846" s="80"/>
      <c r="M846" s="80"/>
      <c r="N846" s="80"/>
      <c r="O846" s="80"/>
      <c r="P846" s="80"/>
    </row>
    <row r="847">
      <c r="K847" s="80"/>
      <c r="L847" s="80"/>
      <c r="M847" s="80"/>
      <c r="N847" s="80"/>
      <c r="O847" s="80"/>
      <c r="P847" s="80"/>
    </row>
    <row r="848">
      <c r="K848" s="80"/>
      <c r="L848" s="80"/>
      <c r="M848" s="80"/>
      <c r="N848" s="80"/>
      <c r="O848" s="80"/>
      <c r="P848" s="80"/>
    </row>
    <row r="849">
      <c r="K849" s="80"/>
      <c r="L849" s="80"/>
      <c r="M849" s="80"/>
      <c r="N849" s="80"/>
      <c r="O849" s="80"/>
      <c r="P849" s="80"/>
    </row>
    <row r="850">
      <c r="K850" s="80"/>
      <c r="L850" s="80"/>
      <c r="M850" s="80"/>
      <c r="N850" s="80"/>
      <c r="O850" s="80"/>
      <c r="P850" s="80"/>
    </row>
    <row r="851">
      <c r="K851" s="80"/>
      <c r="L851" s="80"/>
      <c r="M851" s="80"/>
      <c r="N851" s="80"/>
      <c r="O851" s="80"/>
      <c r="P851" s="80"/>
    </row>
    <row r="852">
      <c r="K852" s="80"/>
      <c r="L852" s="80"/>
      <c r="M852" s="80"/>
      <c r="N852" s="80"/>
      <c r="O852" s="80"/>
      <c r="P852" s="80"/>
    </row>
    <row r="853">
      <c r="K853" s="80"/>
      <c r="L853" s="80"/>
      <c r="M853" s="80"/>
      <c r="N853" s="80"/>
      <c r="O853" s="80"/>
      <c r="P853" s="80"/>
    </row>
    <row r="854">
      <c r="K854" s="80"/>
      <c r="L854" s="80"/>
      <c r="M854" s="80"/>
      <c r="N854" s="80"/>
      <c r="O854" s="80"/>
      <c r="P854" s="80"/>
    </row>
    <row r="855">
      <c r="K855" s="80"/>
      <c r="L855" s="80"/>
      <c r="M855" s="80"/>
      <c r="N855" s="80"/>
      <c r="O855" s="80"/>
      <c r="P855" s="80"/>
    </row>
    <row r="856">
      <c r="K856" s="80"/>
      <c r="L856" s="80"/>
      <c r="M856" s="80"/>
      <c r="N856" s="80"/>
      <c r="O856" s="80"/>
      <c r="P856" s="80"/>
    </row>
    <row r="857">
      <c r="K857" s="80"/>
      <c r="L857" s="80"/>
      <c r="M857" s="80"/>
      <c r="N857" s="80"/>
      <c r="O857" s="80"/>
      <c r="P857" s="80"/>
    </row>
    <row r="858">
      <c r="K858" s="80"/>
      <c r="L858" s="80"/>
      <c r="M858" s="80"/>
      <c r="N858" s="80"/>
      <c r="O858" s="80"/>
      <c r="P858" s="80"/>
    </row>
    <row r="859">
      <c r="K859" s="80"/>
      <c r="L859" s="80"/>
      <c r="M859" s="80"/>
      <c r="N859" s="80"/>
      <c r="O859" s="80"/>
      <c r="P859" s="80"/>
    </row>
    <row r="860">
      <c r="K860" s="80"/>
      <c r="L860" s="80"/>
      <c r="M860" s="80"/>
      <c r="N860" s="80"/>
      <c r="O860" s="80"/>
      <c r="P860" s="80"/>
    </row>
    <row r="861">
      <c r="K861" s="80"/>
      <c r="L861" s="80"/>
      <c r="M861" s="80"/>
      <c r="N861" s="80"/>
      <c r="O861" s="80"/>
      <c r="P861" s="80"/>
    </row>
    <row r="862">
      <c r="K862" s="80"/>
      <c r="L862" s="80"/>
      <c r="M862" s="80"/>
      <c r="N862" s="80"/>
      <c r="O862" s="80"/>
      <c r="P862" s="80"/>
    </row>
    <row r="863">
      <c r="K863" s="80"/>
      <c r="L863" s="80"/>
      <c r="M863" s="80"/>
      <c r="N863" s="80"/>
      <c r="O863" s="80"/>
      <c r="P863" s="80"/>
    </row>
    <row r="864">
      <c r="K864" s="80"/>
      <c r="L864" s="80"/>
      <c r="M864" s="80"/>
      <c r="N864" s="80"/>
      <c r="O864" s="80"/>
      <c r="P864" s="80"/>
    </row>
    <row r="865">
      <c r="K865" s="80"/>
      <c r="L865" s="80"/>
      <c r="M865" s="80"/>
      <c r="N865" s="80"/>
      <c r="O865" s="80"/>
      <c r="P865" s="80"/>
    </row>
    <row r="866">
      <c r="K866" s="80"/>
      <c r="L866" s="80"/>
      <c r="M866" s="80"/>
      <c r="N866" s="80"/>
      <c r="O866" s="80"/>
      <c r="P866" s="80"/>
    </row>
    <row r="867">
      <c r="K867" s="80"/>
      <c r="L867" s="80"/>
      <c r="M867" s="80"/>
      <c r="N867" s="80"/>
      <c r="O867" s="80"/>
      <c r="P867" s="80"/>
    </row>
    <row r="868">
      <c r="K868" s="80"/>
      <c r="L868" s="80"/>
      <c r="M868" s="80"/>
      <c r="N868" s="80"/>
      <c r="O868" s="80"/>
      <c r="P868" s="80"/>
    </row>
    <row r="869">
      <c r="K869" s="80"/>
      <c r="L869" s="80"/>
      <c r="M869" s="80"/>
      <c r="N869" s="80"/>
      <c r="O869" s="80"/>
      <c r="P869" s="80"/>
    </row>
    <row r="870">
      <c r="K870" s="80"/>
      <c r="L870" s="80"/>
      <c r="M870" s="80"/>
      <c r="N870" s="80"/>
      <c r="O870" s="80"/>
      <c r="P870" s="80"/>
    </row>
    <row r="871">
      <c r="K871" s="80"/>
      <c r="L871" s="80"/>
      <c r="M871" s="80"/>
      <c r="N871" s="80"/>
      <c r="O871" s="80"/>
      <c r="P871" s="80"/>
    </row>
    <row r="872">
      <c r="K872" s="80"/>
      <c r="L872" s="80"/>
      <c r="M872" s="80"/>
      <c r="N872" s="80"/>
      <c r="O872" s="80"/>
      <c r="P872" s="80"/>
    </row>
    <row r="873">
      <c r="K873" s="80"/>
      <c r="L873" s="80"/>
      <c r="M873" s="80"/>
      <c r="N873" s="80"/>
      <c r="O873" s="80"/>
      <c r="P873" s="80"/>
    </row>
    <row r="874">
      <c r="K874" s="80"/>
      <c r="L874" s="80"/>
      <c r="M874" s="80"/>
      <c r="N874" s="80"/>
      <c r="O874" s="80"/>
      <c r="P874" s="80"/>
    </row>
    <row r="875">
      <c r="K875" s="80"/>
      <c r="L875" s="80"/>
      <c r="M875" s="80"/>
      <c r="N875" s="80"/>
      <c r="O875" s="80"/>
      <c r="P875" s="80"/>
    </row>
    <row r="876">
      <c r="K876" s="80"/>
      <c r="L876" s="80"/>
      <c r="M876" s="80"/>
      <c r="N876" s="80"/>
      <c r="O876" s="80"/>
      <c r="P876" s="80"/>
    </row>
    <row r="877">
      <c r="K877" s="80"/>
      <c r="L877" s="80"/>
      <c r="M877" s="80"/>
      <c r="N877" s="80"/>
      <c r="O877" s="80"/>
      <c r="P877" s="80"/>
    </row>
    <row r="878">
      <c r="K878" s="80"/>
      <c r="L878" s="80"/>
      <c r="M878" s="80"/>
      <c r="N878" s="80"/>
      <c r="O878" s="80"/>
      <c r="P878" s="80"/>
    </row>
    <row r="879">
      <c r="K879" s="80"/>
      <c r="L879" s="80"/>
      <c r="M879" s="80"/>
      <c r="N879" s="80"/>
      <c r="O879" s="80"/>
      <c r="P879" s="80"/>
    </row>
    <row r="880">
      <c r="K880" s="80"/>
      <c r="L880" s="80"/>
      <c r="M880" s="80"/>
      <c r="N880" s="80"/>
      <c r="O880" s="80"/>
      <c r="P880" s="80"/>
    </row>
    <row r="881">
      <c r="K881" s="80"/>
      <c r="L881" s="80"/>
      <c r="M881" s="80"/>
      <c r="N881" s="80"/>
      <c r="O881" s="80"/>
      <c r="P881" s="80"/>
    </row>
    <row r="882">
      <c r="K882" s="80"/>
      <c r="L882" s="80"/>
      <c r="M882" s="80"/>
      <c r="N882" s="80"/>
      <c r="O882" s="80"/>
      <c r="P882" s="80"/>
    </row>
    <row r="883">
      <c r="K883" s="80"/>
      <c r="L883" s="80"/>
      <c r="M883" s="80"/>
      <c r="N883" s="80"/>
      <c r="O883" s="80"/>
      <c r="P883" s="80"/>
    </row>
    <row r="884">
      <c r="K884" s="80"/>
      <c r="L884" s="80"/>
      <c r="M884" s="80"/>
      <c r="N884" s="80"/>
      <c r="O884" s="80"/>
      <c r="P884" s="80"/>
    </row>
    <row r="885">
      <c r="K885" s="80"/>
      <c r="L885" s="80"/>
      <c r="M885" s="80"/>
      <c r="N885" s="80"/>
      <c r="O885" s="80"/>
      <c r="P885" s="80"/>
    </row>
    <row r="886">
      <c r="K886" s="80"/>
      <c r="L886" s="80"/>
      <c r="M886" s="80"/>
      <c r="N886" s="80"/>
      <c r="O886" s="80"/>
      <c r="P886" s="80"/>
    </row>
    <row r="887">
      <c r="K887" s="80"/>
      <c r="L887" s="80"/>
      <c r="M887" s="80"/>
      <c r="N887" s="80"/>
      <c r="O887" s="80"/>
      <c r="P887" s="80"/>
    </row>
    <row r="888">
      <c r="K888" s="80"/>
      <c r="L888" s="80"/>
      <c r="M888" s="80"/>
      <c r="N888" s="80"/>
      <c r="O888" s="80"/>
      <c r="P888" s="80"/>
    </row>
    <row r="889">
      <c r="K889" s="80"/>
      <c r="L889" s="80"/>
      <c r="M889" s="80"/>
      <c r="N889" s="80"/>
      <c r="O889" s="80"/>
      <c r="P889" s="80"/>
    </row>
    <row r="890">
      <c r="K890" s="80"/>
      <c r="L890" s="80"/>
      <c r="M890" s="80"/>
      <c r="N890" s="80"/>
      <c r="O890" s="80"/>
      <c r="P890" s="80"/>
    </row>
    <row r="891">
      <c r="K891" s="80"/>
      <c r="L891" s="80"/>
      <c r="M891" s="80"/>
      <c r="N891" s="80"/>
      <c r="O891" s="80"/>
      <c r="P891" s="80"/>
    </row>
    <row r="892">
      <c r="K892" s="80"/>
      <c r="L892" s="80"/>
      <c r="M892" s="80"/>
      <c r="N892" s="80"/>
      <c r="O892" s="80"/>
      <c r="P892" s="80"/>
    </row>
    <row r="893">
      <c r="K893" s="80"/>
      <c r="L893" s="80"/>
      <c r="M893" s="80"/>
      <c r="N893" s="80"/>
      <c r="O893" s="80"/>
      <c r="P893" s="80"/>
    </row>
    <row r="894">
      <c r="K894" s="80"/>
      <c r="L894" s="80"/>
      <c r="M894" s="80"/>
      <c r="N894" s="80"/>
      <c r="O894" s="80"/>
      <c r="P894" s="80"/>
    </row>
    <row r="895">
      <c r="K895" s="80"/>
      <c r="L895" s="80"/>
      <c r="M895" s="80"/>
      <c r="N895" s="80"/>
      <c r="O895" s="80"/>
      <c r="P895" s="80"/>
    </row>
    <row r="896">
      <c r="K896" s="80"/>
      <c r="L896" s="80"/>
      <c r="M896" s="80"/>
      <c r="N896" s="80"/>
      <c r="O896" s="80"/>
      <c r="P896" s="80"/>
    </row>
    <row r="897">
      <c r="K897" s="80"/>
      <c r="L897" s="80"/>
      <c r="M897" s="80"/>
      <c r="N897" s="80"/>
      <c r="O897" s="80"/>
      <c r="P897" s="80"/>
    </row>
    <row r="898">
      <c r="K898" s="80"/>
      <c r="L898" s="80"/>
      <c r="M898" s="80"/>
      <c r="N898" s="80"/>
      <c r="O898" s="80"/>
      <c r="P898" s="80"/>
    </row>
    <row r="899">
      <c r="K899" s="80"/>
      <c r="L899" s="80"/>
      <c r="M899" s="80"/>
      <c r="N899" s="80"/>
      <c r="O899" s="80"/>
      <c r="P899" s="80"/>
    </row>
    <row r="900">
      <c r="K900" s="80"/>
      <c r="L900" s="80"/>
      <c r="M900" s="80"/>
      <c r="N900" s="80"/>
      <c r="O900" s="80"/>
      <c r="P900" s="80"/>
    </row>
    <row r="901">
      <c r="K901" s="80"/>
      <c r="L901" s="80"/>
      <c r="M901" s="80"/>
      <c r="N901" s="80"/>
      <c r="O901" s="80"/>
      <c r="P901" s="80"/>
    </row>
    <row r="902">
      <c r="K902" s="80"/>
      <c r="L902" s="80"/>
      <c r="M902" s="80"/>
      <c r="N902" s="80"/>
      <c r="O902" s="80"/>
      <c r="P902" s="80"/>
    </row>
    <row r="903">
      <c r="K903" s="80"/>
      <c r="L903" s="80"/>
      <c r="M903" s="80"/>
      <c r="N903" s="80"/>
      <c r="O903" s="80"/>
      <c r="P903" s="80"/>
    </row>
    <row r="904">
      <c r="K904" s="80"/>
      <c r="L904" s="80"/>
      <c r="M904" s="80"/>
      <c r="N904" s="80"/>
      <c r="O904" s="80"/>
      <c r="P904" s="80"/>
    </row>
    <row r="905">
      <c r="K905" s="80"/>
      <c r="L905" s="80"/>
      <c r="M905" s="80"/>
      <c r="N905" s="80"/>
      <c r="O905" s="80"/>
      <c r="P905" s="80"/>
    </row>
    <row r="906">
      <c r="K906" s="80"/>
      <c r="L906" s="80"/>
      <c r="M906" s="80"/>
      <c r="N906" s="80"/>
      <c r="O906" s="80"/>
      <c r="P906" s="80"/>
    </row>
    <row r="907">
      <c r="K907" s="80"/>
      <c r="L907" s="80"/>
      <c r="M907" s="80"/>
      <c r="N907" s="80"/>
      <c r="O907" s="80"/>
      <c r="P907" s="80"/>
    </row>
    <row r="908">
      <c r="K908" s="80"/>
      <c r="L908" s="80"/>
      <c r="M908" s="80"/>
      <c r="N908" s="80"/>
      <c r="O908" s="80"/>
      <c r="P908" s="80"/>
    </row>
    <row r="909">
      <c r="K909" s="80"/>
      <c r="L909" s="80"/>
      <c r="M909" s="80"/>
      <c r="N909" s="80"/>
      <c r="O909" s="80"/>
      <c r="P909" s="80"/>
    </row>
    <row r="910">
      <c r="K910" s="80"/>
      <c r="L910" s="80"/>
      <c r="M910" s="80"/>
      <c r="N910" s="80"/>
      <c r="O910" s="80"/>
      <c r="P910" s="80"/>
    </row>
    <row r="911">
      <c r="K911" s="80"/>
      <c r="L911" s="80"/>
      <c r="M911" s="80"/>
      <c r="N911" s="80"/>
      <c r="O911" s="80"/>
      <c r="P911" s="80"/>
    </row>
    <row r="912">
      <c r="K912" s="80"/>
      <c r="L912" s="80"/>
      <c r="M912" s="80"/>
      <c r="N912" s="80"/>
      <c r="O912" s="80"/>
      <c r="P912" s="80"/>
    </row>
    <row r="913">
      <c r="K913" s="80"/>
      <c r="L913" s="80"/>
      <c r="M913" s="80"/>
      <c r="N913" s="80"/>
      <c r="O913" s="80"/>
      <c r="P913" s="80"/>
    </row>
    <row r="914">
      <c r="K914" s="80"/>
      <c r="L914" s="80"/>
      <c r="M914" s="80"/>
      <c r="N914" s="80"/>
      <c r="O914" s="80"/>
      <c r="P914" s="80"/>
    </row>
    <row r="915">
      <c r="K915" s="80"/>
      <c r="L915" s="80"/>
      <c r="M915" s="80"/>
      <c r="N915" s="80"/>
      <c r="O915" s="80"/>
      <c r="P915" s="80"/>
    </row>
    <row r="916">
      <c r="K916" s="80"/>
      <c r="L916" s="80"/>
      <c r="M916" s="80"/>
      <c r="N916" s="80"/>
      <c r="O916" s="80"/>
      <c r="P916" s="80"/>
    </row>
    <row r="917">
      <c r="K917" s="80"/>
      <c r="L917" s="80"/>
      <c r="M917" s="80"/>
      <c r="N917" s="80"/>
      <c r="O917" s="80"/>
      <c r="P917" s="80"/>
    </row>
    <row r="918">
      <c r="K918" s="80"/>
      <c r="L918" s="80"/>
      <c r="M918" s="80"/>
      <c r="N918" s="80"/>
      <c r="O918" s="80"/>
      <c r="P918" s="80"/>
    </row>
    <row r="919">
      <c r="K919" s="80"/>
      <c r="L919" s="80"/>
      <c r="M919" s="80"/>
      <c r="N919" s="80"/>
      <c r="O919" s="80"/>
      <c r="P919" s="80"/>
    </row>
    <row r="920">
      <c r="K920" s="80"/>
      <c r="L920" s="80"/>
      <c r="M920" s="80"/>
      <c r="N920" s="80"/>
      <c r="O920" s="80"/>
      <c r="P920" s="80"/>
    </row>
    <row r="921">
      <c r="K921" s="80"/>
      <c r="L921" s="80"/>
      <c r="M921" s="80"/>
      <c r="N921" s="80"/>
      <c r="O921" s="80"/>
      <c r="P921" s="80"/>
    </row>
    <row r="922">
      <c r="K922" s="80"/>
      <c r="L922" s="80"/>
      <c r="M922" s="80"/>
      <c r="N922" s="80"/>
      <c r="O922" s="80"/>
      <c r="P922" s="80"/>
    </row>
    <row r="923">
      <c r="K923" s="80"/>
      <c r="L923" s="80"/>
      <c r="M923" s="80"/>
      <c r="N923" s="80"/>
      <c r="O923" s="80"/>
      <c r="P923" s="80"/>
    </row>
    <row r="924">
      <c r="K924" s="80"/>
      <c r="L924" s="80"/>
      <c r="M924" s="80"/>
      <c r="N924" s="80"/>
      <c r="O924" s="80"/>
      <c r="P924" s="80"/>
    </row>
    <row r="925">
      <c r="K925" s="80"/>
      <c r="L925" s="80"/>
      <c r="M925" s="80"/>
      <c r="N925" s="80"/>
      <c r="O925" s="80"/>
      <c r="P925" s="80"/>
    </row>
    <row r="926">
      <c r="K926" s="80"/>
      <c r="L926" s="80"/>
      <c r="M926" s="80"/>
      <c r="N926" s="80"/>
      <c r="O926" s="80"/>
      <c r="P926" s="80"/>
    </row>
    <row r="927">
      <c r="K927" s="80"/>
      <c r="L927" s="80"/>
      <c r="M927" s="80"/>
      <c r="N927" s="80"/>
      <c r="O927" s="80"/>
      <c r="P927" s="80"/>
    </row>
    <row r="928">
      <c r="K928" s="80"/>
      <c r="L928" s="80"/>
      <c r="M928" s="80"/>
      <c r="N928" s="80"/>
      <c r="O928" s="80"/>
      <c r="P928" s="80"/>
    </row>
    <row r="929">
      <c r="K929" s="80"/>
      <c r="L929" s="80"/>
      <c r="M929" s="80"/>
      <c r="N929" s="80"/>
      <c r="O929" s="80"/>
      <c r="P929" s="80"/>
    </row>
    <row r="930">
      <c r="K930" s="80"/>
      <c r="L930" s="80"/>
      <c r="M930" s="80"/>
      <c r="N930" s="80"/>
      <c r="O930" s="80"/>
      <c r="P930" s="80"/>
    </row>
    <row r="931">
      <c r="K931" s="80"/>
      <c r="L931" s="80"/>
      <c r="M931" s="80"/>
      <c r="N931" s="80"/>
      <c r="O931" s="80"/>
      <c r="P931" s="80"/>
    </row>
    <row r="932">
      <c r="K932" s="80"/>
      <c r="L932" s="80"/>
      <c r="M932" s="80"/>
      <c r="N932" s="80"/>
      <c r="O932" s="80"/>
      <c r="P932" s="80"/>
    </row>
    <row r="933">
      <c r="K933" s="80"/>
      <c r="L933" s="80"/>
      <c r="M933" s="80"/>
      <c r="N933" s="80"/>
      <c r="O933" s="80"/>
      <c r="P933" s="80"/>
    </row>
    <row r="934">
      <c r="K934" s="80"/>
      <c r="L934" s="80"/>
      <c r="M934" s="80"/>
      <c r="N934" s="80"/>
      <c r="O934" s="80"/>
      <c r="P934" s="80"/>
    </row>
    <row r="935">
      <c r="K935" s="80"/>
      <c r="L935" s="80"/>
      <c r="M935" s="80"/>
      <c r="N935" s="80"/>
      <c r="O935" s="80"/>
      <c r="P935" s="80"/>
    </row>
    <row r="936">
      <c r="K936" s="80"/>
      <c r="L936" s="80"/>
      <c r="M936" s="80"/>
      <c r="N936" s="80"/>
      <c r="O936" s="80"/>
      <c r="P936" s="80"/>
    </row>
    <row r="937">
      <c r="K937" s="80"/>
      <c r="L937" s="80"/>
      <c r="M937" s="80"/>
      <c r="N937" s="80"/>
      <c r="O937" s="80"/>
      <c r="P937" s="80"/>
    </row>
    <row r="938">
      <c r="K938" s="80"/>
      <c r="L938" s="80"/>
      <c r="M938" s="80"/>
      <c r="N938" s="80"/>
      <c r="O938" s="80"/>
      <c r="P938" s="80"/>
    </row>
    <row r="939">
      <c r="K939" s="80"/>
      <c r="L939" s="80"/>
      <c r="M939" s="80"/>
      <c r="N939" s="80"/>
      <c r="O939" s="80"/>
      <c r="P939" s="80"/>
    </row>
    <row r="940">
      <c r="K940" s="80"/>
      <c r="L940" s="80"/>
      <c r="M940" s="80"/>
      <c r="N940" s="80"/>
      <c r="O940" s="80"/>
      <c r="P940" s="80"/>
    </row>
    <row r="941">
      <c r="K941" s="80"/>
      <c r="L941" s="80"/>
      <c r="M941" s="80"/>
      <c r="N941" s="80"/>
      <c r="O941" s="80"/>
      <c r="P941" s="80"/>
    </row>
    <row r="942">
      <c r="K942" s="80"/>
      <c r="L942" s="80"/>
      <c r="M942" s="80"/>
      <c r="N942" s="80"/>
      <c r="O942" s="80"/>
      <c r="P942" s="80"/>
    </row>
    <row r="943">
      <c r="K943" s="80"/>
      <c r="L943" s="80"/>
      <c r="M943" s="80"/>
      <c r="N943" s="80"/>
      <c r="O943" s="80"/>
      <c r="P943" s="80"/>
    </row>
    <row r="944">
      <c r="K944" s="80"/>
      <c r="L944" s="80"/>
      <c r="M944" s="80"/>
      <c r="N944" s="80"/>
      <c r="O944" s="80"/>
      <c r="P944" s="80"/>
    </row>
    <row r="945">
      <c r="K945" s="80"/>
      <c r="L945" s="80"/>
      <c r="M945" s="80"/>
      <c r="N945" s="80"/>
      <c r="O945" s="80"/>
      <c r="P945" s="80"/>
    </row>
    <row r="946">
      <c r="K946" s="80"/>
      <c r="L946" s="80"/>
      <c r="M946" s="80"/>
      <c r="N946" s="80"/>
      <c r="O946" s="80"/>
      <c r="P946" s="80"/>
    </row>
    <row r="947">
      <c r="K947" s="80"/>
      <c r="L947" s="80"/>
      <c r="M947" s="80"/>
      <c r="N947" s="80"/>
      <c r="O947" s="80"/>
      <c r="P947" s="80"/>
    </row>
    <row r="948">
      <c r="K948" s="80"/>
      <c r="L948" s="80"/>
      <c r="M948" s="80"/>
      <c r="N948" s="80"/>
      <c r="O948" s="80"/>
      <c r="P948" s="80"/>
    </row>
    <row r="949">
      <c r="K949" s="80"/>
      <c r="L949" s="80"/>
      <c r="M949" s="80"/>
      <c r="N949" s="80"/>
      <c r="O949" s="80"/>
      <c r="P949" s="80"/>
    </row>
    <row r="950">
      <c r="K950" s="80"/>
      <c r="L950" s="80"/>
      <c r="M950" s="80"/>
      <c r="N950" s="80"/>
      <c r="O950" s="80"/>
      <c r="P950" s="80"/>
    </row>
    <row r="951">
      <c r="K951" s="80"/>
      <c r="L951" s="80"/>
      <c r="M951" s="80"/>
      <c r="N951" s="80"/>
      <c r="O951" s="80"/>
      <c r="P951" s="80"/>
    </row>
    <row r="952">
      <c r="K952" s="80"/>
      <c r="L952" s="80"/>
      <c r="M952" s="80"/>
      <c r="N952" s="80"/>
      <c r="O952" s="80"/>
      <c r="P952" s="80"/>
    </row>
    <row r="953">
      <c r="K953" s="80"/>
      <c r="L953" s="80"/>
      <c r="M953" s="80"/>
      <c r="N953" s="80"/>
      <c r="O953" s="80"/>
      <c r="P953" s="80"/>
    </row>
    <row r="954">
      <c r="K954" s="80"/>
      <c r="L954" s="80"/>
      <c r="M954" s="80"/>
      <c r="N954" s="80"/>
      <c r="O954" s="80"/>
      <c r="P954" s="80"/>
    </row>
    <row r="955">
      <c r="K955" s="80"/>
      <c r="L955" s="80"/>
      <c r="M955" s="80"/>
      <c r="N955" s="80"/>
      <c r="O955" s="80"/>
      <c r="P955" s="80"/>
    </row>
    <row r="956">
      <c r="K956" s="80"/>
      <c r="L956" s="80"/>
      <c r="M956" s="80"/>
      <c r="N956" s="80"/>
      <c r="O956" s="80"/>
      <c r="P956" s="80"/>
    </row>
    <row r="957">
      <c r="K957" s="80"/>
      <c r="L957" s="80"/>
      <c r="M957" s="80"/>
      <c r="N957" s="80"/>
      <c r="O957" s="80"/>
      <c r="P957" s="80"/>
    </row>
    <row r="958">
      <c r="K958" s="80"/>
      <c r="L958" s="80"/>
      <c r="M958" s="80"/>
      <c r="N958" s="80"/>
      <c r="O958" s="80"/>
      <c r="P958" s="80"/>
    </row>
    <row r="959">
      <c r="K959" s="80"/>
      <c r="L959" s="80"/>
      <c r="M959" s="80"/>
      <c r="N959" s="80"/>
      <c r="O959" s="80"/>
      <c r="P959" s="80"/>
    </row>
    <row r="960">
      <c r="K960" s="80"/>
      <c r="L960" s="80"/>
      <c r="M960" s="80"/>
      <c r="N960" s="80"/>
      <c r="O960" s="80"/>
      <c r="P960" s="80"/>
    </row>
    <row r="961">
      <c r="K961" s="80"/>
      <c r="L961" s="80"/>
      <c r="M961" s="80"/>
      <c r="N961" s="80"/>
      <c r="O961" s="80"/>
      <c r="P961" s="80"/>
    </row>
    <row r="962">
      <c r="K962" s="80"/>
      <c r="L962" s="80"/>
      <c r="M962" s="80"/>
      <c r="N962" s="80"/>
      <c r="O962" s="80"/>
      <c r="P962" s="80"/>
    </row>
    <row r="963">
      <c r="K963" s="80"/>
      <c r="L963" s="80"/>
      <c r="M963" s="80"/>
      <c r="N963" s="80"/>
      <c r="O963" s="80"/>
      <c r="P963" s="80"/>
    </row>
    <row r="964">
      <c r="K964" s="80"/>
      <c r="L964" s="80"/>
      <c r="M964" s="80"/>
      <c r="N964" s="80"/>
      <c r="O964" s="80"/>
      <c r="P964" s="80"/>
    </row>
    <row r="965">
      <c r="K965" s="80"/>
      <c r="L965" s="80"/>
      <c r="M965" s="80"/>
      <c r="N965" s="80"/>
      <c r="O965" s="80"/>
      <c r="P965" s="80"/>
    </row>
    <row r="966">
      <c r="K966" s="80"/>
      <c r="L966" s="80"/>
      <c r="M966" s="80"/>
      <c r="N966" s="80"/>
      <c r="O966" s="80"/>
      <c r="P966" s="80"/>
    </row>
    <row r="967">
      <c r="K967" s="80"/>
      <c r="L967" s="80"/>
      <c r="M967" s="80"/>
      <c r="N967" s="80"/>
      <c r="O967" s="80"/>
      <c r="P967" s="80"/>
    </row>
    <row r="968">
      <c r="K968" s="80"/>
      <c r="L968" s="80"/>
      <c r="M968" s="80"/>
      <c r="N968" s="80"/>
      <c r="O968" s="80"/>
      <c r="P968" s="80"/>
    </row>
    <row r="969">
      <c r="K969" s="80"/>
      <c r="L969" s="80"/>
      <c r="M969" s="80"/>
      <c r="N969" s="80"/>
      <c r="O969" s="80"/>
      <c r="P969" s="80"/>
    </row>
    <row r="970">
      <c r="K970" s="80"/>
      <c r="L970" s="80"/>
      <c r="M970" s="80"/>
      <c r="N970" s="80"/>
      <c r="O970" s="80"/>
      <c r="P970" s="80"/>
    </row>
    <row r="971">
      <c r="K971" s="80"/>
      <c r="L971" s="80"/>
      <c r="M971" s="80"/>
      <c r="N971" s="80"/>
      <c r="O971" s="80"/>
      <c r="P971" s="80"/>
    </row>
    <row r="972">
      <c r="K972" s="80"/>
      <c r="L972" s="80"/>
      <c r="M972" s="80"/>
      <c r="N972" s="80"/>
      <c r="O972" s="80"/>
      <c r="P972" s="80"/>
    </row>
    <row r="973">
      <c r="K973" s="80"/>
      <c r="L973" s="80"/>
      <c r="M973" s="80"/>
      <c r="N973" s="80"/>
      <c r="O973" s="80"/>
      <c r="P973" s="80"/>
    </row>
    <row r="974">
      <c r="K974" s="80"/>
      <c r="L974" s="80"/>
      <c r="M974" s="80"/>
      <c r="N974" s="80"/>
      <c r="O974" s="80"/>
      <c r="P974" s="80"/>
    </row>
    <row r="975">
      <c r="K975" s="80"/>
      <c r="L975" s="80"/>
      <c r="M975" s="80"/>
      <c r="N975" s="80"/>
      <c r="O975" s="80"/>
      <c r="P975" s="80"/>
    </row>
    <row r="976">
      <c r="K976" s="80"/>
      <c r="L976" s="80"/>
      <c r="M976" s="80"/>
      <c r="N976" s="80"/>
      <c r="O976" s="80"/>
      <c r="P976" s="80"/>
    </row>
    <row r="977">
      <c r="K977" s="80"/>
      <c r="L977" s="80"/>
      <c r="M977" s="80"/>
      <c r="N977" s="80"/>
      <c r="O977" s="80"/>
      <c r="P977" s="80"/>
    </row>
    <row r="978">
      <c r="K978" s="80"/>
      <c r="L978" s="80"/>
      <c r="M978" s="80"/>
      <c r="N978" s="80"/>
      <c r="O978" s="80"/>
      <c r="P978" s="80"/>
    </row>
    <row r="979">
      <c r="K979" s="80"/>
      <c r="L979" s="80"/>
      <c r="M979" s="80"/>
      <c r="N979" s="80"/>
      <c r="O979" s="80"/>
      <c r="P979" s="80"/>
    </row>
    <row r="980">
      <c r="K980" s="80"/>
      <c r="L980" s="80"/>
      <c r="M980" s="80"/>
      <c r="N980" s="80"/>
      <c r="O980" s="80"/>
      <c r="P980" s="80"/>
    </row>
    <row r="981">
      <c r="K981" s="80"/>
      <c r="L981" s="80"/>
      <c r="M981" s="80"/>
      <c r="N981" s="80"/>
      <c r="O981" s="80"/>
      <c r="P981" s="80"/>
    </row>
    <row r="982">
      <c r="K982" s="80"/>
      <c r="L982" s="80"/>
      <c r="M982" s="80"/>
      <c r="N982" s="80"/>
      <c r="O982" s="80"/>
      <c r="P982" s="80"/>
    </row>
    <row r="983">
      <c r="K983" s="80"/>
      <c r="L983" s="80"/>
      <c r="M983" s="80"/>
      <c r="N983" s="80"/>
      <c r="O983" s="80"/>
      <c r="P983" s="80"/>
    </row>
    <row r="984">
      <c r="K984" s="80"/>
      <c r="L984" s="80"/>
      <c r="M984" s="80"/>
      <c r="N984" s="80"/>
      <c r="O984" s="80"/>
      <c r="P984" s="80"/>
    </row>
    <row r="985">
      <c r="K985" s="80"/>
      <c r="L985" s="80"/>
      <c r="M985" s="80"/>
      <c r="N985" s="80"/>
      <c r="O985" s="80"/>
      <c r="P985" s="80"/>
    </row>
    <row r="986">
      <c r="K986" s="80"/>
      <c r="L986" s="80"/>
      <c r="M986" s="80"/>
      <c r="N986" s="80"/>
      <c r="O986" s="80"/>
      <c r="P986" s="80"/>
    </row>
    <row r="987">
      <c r="K987" s="80"/>
      <c r="L987" s="80"/>
      <c r="M987" s="80"/>
      <c r="N987" s="80"/>
      <c r="O987" s="80"/>
      <c r="P987" s="80"/>
    </row>
    <row r="988">
      <c r="K988" s="80"/>
      <c r="L988" s="80"/>
      <c r="M988" s="80"/>
      <c r="N988" s="80"/>
      <c r="O988" s="80"/>
      <c r="P988" s="80"/>
    </row>
    <row r="989">
      <c r="K989" s="80"/>
      <c r="L989" s="80"/>
      <c r="M989" s="80"/>
      <c r="N989" s="80"/>
      <c r="O989" s="80"/>
      <c r="P989" s="80"/>
    </row>
    <row r="990">
      <c r="K990" s="80"/>
      <c r="L990" s="80"/>
      <c r="M990" s="80"/>
      <c r="N990" s="80"/>
      <c r="O990" s="80"/>
      <c r="P990" s="80"/>
    </row>
    <row r="991">
      <c r="K991" s="80"/>
      <c r="L991" s="80"/>
      <c r="M991" s="80"/>
      <c r="N991" s="80"/>
      <c r="O991" s="80"/>
      <c r="P991" s="80"/>
    </row>
    <row r="992">
      <c r="K992" s="80"/>
      <c r="L992" s="80"/>
      <c r="M992" s="80"/>
      <c r="N992" s="80"/>
      <c r="O992" s="80"/>
      <c r="P992" s="80"/>
    </row>
    <row r="993">
      <c r="K993" s="80"/>
      <c r="L993" s="80"/>
      <c r="M993" s="80"/>
      <c r="N993" s="80"/>
      <c r="O993" s="80"/>
      <c r="P993" s="80"/>
    </row>
    <row r="994">
      <c r="K994" s="80"/>
      <c r="L994" s="80"/>
      <c r="M994" s="80"/>
      <c r="N994" s="80"/>
      <c r="O994" s="80"/>
      <c r="P994" s="80"/>
    </row>
    <row r="995">
      <c r="K995" s="80"/>
      <c r="L995" s="80"/>
      <c r="M995" s="80"/>
      <c r="N995" s="80"/>
      <c r="O995" s="80"/>
      <c r="P995" s="80"/>
    </row>
    <row r="996">
      <c r="K996" s="80"/>
      <c r="L996" s="80"/>
      <c r="M996" s="80"/>
      <c r="N996" s="80"/>
      <c r="O996" s="80"/>
      <c r="P996" s="80"/>
    </row>
    <row r="997">
      <c r="K997" s="80"/>
      <c r="L997" s="80"/>
      <c r="M997" s="80"/>
      <c r="N997" s="80"/>
      <c r="O997" s="80"/>
      <c r="P997" s="80"/>
    </row>
    <row r="998">
      <c r="K998" s="80"/>
      <c r="L998" s="80"/>
      <c r="M998" s="80"/>
      <c r="N998" s="80"/>
      <c r="O998" s="80"/>
      <c r="P998" s="80"/>
    </row>
    <row r="999">
      <c r="K999" s="80"/>
      <c r="L999" s="80"/>
      <c r="M999" s="80"/>
      <c r="N999" s="80"/>
      <c r="O999" s="80"/>
      <c r="P999" s="80"/>
    </row>
    <row r="1000">
      <c r="K1000" s="80"/>
      <c r="L1000" s="80"/>
      <c r="M1000" s="80"/>
      <c r="N1000" s="80"/>
      <c r="O1000" s="80"/>
      <c r="P1000" s="80"/>
    </row>
  </sheetData>
  <autoFilter ref="$I$1:$J$8">
    <filterColumn colId="1">
      <filters blank="1"/>
    </filterColumn>
  </autoFil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8.63"/>
    <col customWidth="1" min="3" max="3" width="22.63"/>
    <col customWidth="1" min="4" max="4" width="26.63"/>
  </cols>
  <sheetData>
    <row r="1"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6.25"/>
    <col customWidth="1" min="3" max="3" width="20.75"/>
    <col customWidth="1" min="4" max="4" width="30.75"/>
    <col customWidth="1" min="5" max="5" width="18.63"/>
    <col customWidth="1" min="6" max="6" width="17.5"/>
  </cols>
  <sheetData>
    <row r="1"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autoFilter ref="$A$1:$Z$1000">
    <sortState ref="A1:Z1000">
      <sortCondition ref="E1:E1000"/>
    </sortState>
  </autoFilter>
  <drawing r:id="rId2"/>
</worksheet>
</file>